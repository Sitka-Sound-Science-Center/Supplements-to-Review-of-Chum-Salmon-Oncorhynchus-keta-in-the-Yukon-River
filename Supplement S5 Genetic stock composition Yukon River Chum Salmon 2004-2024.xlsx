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JournalSubmission\Supplement S5 Genetic stock composition data for Yukon River Chum Salmon 2004-2024\"/>
    </mc:Choice>
  </mc:AlternateContent>
  <xr:revisionPtr revIDLastSave="0" documentId="13_ncr:1_{9F4B3689-0D1B-43F9-B9B2-81983980C7CC}" xr6:coauthVersionLast="47" xr6:coauthVersionMax="47" xr10:uidLastSave="{00000000-0000-0000-0000-000000000000}"/>
  <bookViews>
    <workbookView xWindow="-120" yWindow="-120" windowWidth="29040" windowHeight="15720" firstSheet="4" activeTab="6" xr2:uid="{510B079C-8B2B-4D33-9FCF-C6B8F414BCE1}"/>
  </bookViews>
  <sheets>
    <sheet name="2004" sheetId="1" r:id="rId1"/>
    <sheet name="2005" sheetId="2" r:id="rId2"/>
    <sheet name="2006" sheetId="3" r:id="rId3"/>
    <sheet name="2007" sheetId="4" r:id="rId4"/>
    <sheet name="2008" sheetId="5" r:id="rId5"/>
    <sheet name="2009" sheetId="6" r:id="rId6"/>
    <sheet name="2010" sheetId="7" r:id="rId7"/>
    <sheet name="2011" sheetId="8" r:id="rId8"/>
    <sheet name="2012" sheetId="9" r:id="rId9"/>
    <sheet name="2013" sheetId="10" r:id="rId10"/>
    <sheet name="2014" sheetId="11" r:id="rId11"/>
    <sheet name="2015" sheetId="13" r:id="rId12"/>
    <sheet name="2016" sheetId="14" r:id="rId13"/>
    <sheet name="2017" sheetId="15" r:id="rId14"/>
    <sheet name="2018" sheetId="16" r:id="rId15"/>
    <sheet name="2019" sheetId="17" r:id="rId16"/>
    <sheet name="2020" sheetId="18" r:id="rId17"/>
    <sheet name="2021" sheetId="19" r:id="rId18"/>
    <sheet name="2022" sheetId="20" r:id="rId19"/>
    <sheet name="2023" sheetId="21" r:id="rId20"/>
    <sheet name="2024" sheetId="22" r:id="rId21"/>
  </sheets>
  <externalReferences>
    <externalReference r:id="rId2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21" i="16" l="1"/>
  <c r="BJ21" i="16"/>
  <c r="BM21" i="16" s="1"/>
  <c r="BK20" i="16"/>
  <c r="BJ20" i="16"/>
  <c r="BM20" i="16" s="1"/>
  <c r="BK19" i="16"/>
  <c r="BJ19" i="16"/>
  <c r="BM19" i="16" s="1"/>
  <c r="BK18" i="16"/>
  <c r="BJ18" i="16"/>
  <c r="BM18" i="16" s="1"/>
  <c r="BK17" i="16"/>
  <c r="BJ17" i="16"/>
  <c r="BM17" i="16" s="1"/>
  <c r="BK16" i="16"/>
  <c r="BJ16" i="16"/>
  <c r="BM16" i="16" s="1"/>
  <c r="BK15" i="16"/>
  <c r="BJ15" i="16"/>
  <c r="BM15" i="16" s="1"/>
  <c r="BK14" i="16"/>
  <c r="BJ14" i="16"/>
  <c r="BM14" i="16" s="1"/>
  <c r="BK13" i="16"/>
  <c r="BJ13" i="16"/>
  <c r="BM13" i="16" s="1"/>
  <c r="BK12" i="16"/>
  <c r="BJ12" i="16"/>
  <c r="BM12" i="16" s="1"/>
  <c r="BK11" i="16"/>
  <c r="BJ11" i="16"/>
  <c r="BM11" i="16" s="1"/>
  <c r="BK10" i="16"/>
  <c r="BJ10" i="16"/>
  <c r="BM10" i="16" s="1"/>
  <c r="BK9" i="16"/>
  <c r="BJ9" i="16"/>
  <c r="BM9" i="16" s="1"/>
  <c r="BK8" i="16"/>
  <c r="BJ8" i="16"/>
  <c r="BM8" i="16" s="1"/>
  <c r="BK7" i="16"/>
  <c r="BJ7" i="16"/>
  <c r="BM7" i="16" s="1"/>
  <c r="BK6" i="16"/>
  <c r="BJ6" i="16"/>
  <c r="BM6" i="16" s="1"/>
  <c r="BK5" i="16"/>
  <c r="BJ5" i="16"/>
  <c r="BM5" i="16" s="1"/>
  <c r="BK4" i="16"/>
  <c r="BJ4" i="16"/>
  <c r="BM4" i="16" s="1"/>
  <c r="BK3" i="16"/>
  <c r="BJ3" i="16"/>
  <c r="BM3" i="16" s="1"/>
  <c r="BL4" i="16" l="1"/>
  <c r="BL7" i="16"/>
  <c r="BL10" i="16"/>
  <c r="BL13" i="16"/>
  <c r="BL16" i="16"/>
  <c r="BL19" i="16"/>
  <c r="BL5" i="16"/>
  <c r="BL8" i="16"/>
  <c r="BL11" i="16"/>
  <c r="BL14" i="16"/>
  <c r="BL17" i="16"/>
  <c r="BL20" i="16"/>
  <c r="BL3" i="16"/>
  <c r="BL6" i="16"/>
  <c r="BL9" i="16"/>
  <c r="BL12" i="16"/>
  <c r="BL15" i="16"/>
  <c r="BL18" i="16"/>
  <c r="BL21" i="16"/>
  <c r="G60" i="10" l="1"/>
  <c r="G59" i="10"/>
  <c r="G58" i="10"/>
  <c r="G57" i="10"/>
  <c r="G56" i="10"/>
  <c r="G55" i="10"/>
  <c r="G54" i="10"/>
  <c r="G53" i="10"/>
</calcChain>
</file>

<file path=xl/sharedStrings.xml><?xml version="1.0" encoding="utf-8"?>
<sst xmlns="http://schemas.openxmlformats.org/spreadsheetml/2006/main" count="5070" uniqueCount="312">
  <si>
    <t>Buildup</t>
  </si>
  <si>
    <t>Pulse1</t>
  </si>
  <si>
    <t>Pulse2</t>
  </si>
  <si>
    <t>Pulse3</t>
  </si>
  <si>
    <t>Pulse4</t>
  </si>
  <si>
    <t>Pulse5</t>
  </si>
  <si>
    <t>Average</t>
  </si>
  <si>
    <t>S.D.</t>
  </si>
  <si>
    <t>95%CI</t>
  </si>
  <si>
    <t>Summer</t>
  </si>
  <si>
    <t>Lower</t>
  </si>
  <si>
    <t>Fall</t>
  </si>
  <si>
    <t>USBorder</t>
  </si>
  <si>
    <t>BorderCA</t>
  </si>
  <si>
    <t>Porcupine</t>
  </si>
  <si>
    <t>Mainstem</t>
  </si>
  <si>
    <t>UpperCA</t>
  </si>
  <si>
    <t>White</t>
  </si>
  <si>
    <t>Teslin</t>
  </si>
  <si>
    <t>Fall U.S.</t>
  </si>
  <si>
    <t>U.S.</t>
  </si>
  <si>
    <t>Canada</t>
  </si>
  <si>
    <t>BorderUS+Canada</t>
  </si>
  <si>
    <t>Mainstem + Upper</t>
  </si>
  <si>
    <t>Overall 7/19 - 8/31</t>
  </si>
  <si>
    <t>7/19-8/2</t>
  </si>
  <si>
    <t>8/3-8/9</t>
  </si>
  <si>
    <t>8/10-8/15</t>
  </si>
  <si>
    <t>8/16-8/21</t>
  </si>
  <si>
    <t>8/22-8/26</t>
  </si>
  <si>
    <t>8/27-8/31</t>
  </si>
  <si>
    <t>Preseason1</t>
  </si>
  <si>
    <t>Preseason2</t>
  </si>
  <si>
    <t>AVG</t>
  </si>
  <si>
    <t>SD</t>
  </si>
  <si>
    <t>95CI</t>
  </si>
  <si>
    <t>TananaSummer</t>
  </si>
  <si>
    <t>TananaFall</t>
  </si>
  <si>
    <t>BorderUS</t>
  </si>
  <si>
    <t>CABorder</t>
  </si>
  <si>
    <t>Upper</t>
  </si>
  <si>
    <t>FallUS</t>
  </si>
  <si>
    <t>US</t>
  </si>
  <si>
    <t>USBorder+Canada</t>
  </si>
  <si>
    <t>mainstem+upper</t>
  </si>
  <si>
    <t>Avg</t>
  </si>
  <si>
    <t>Overall (7/1 - 8/31)</t>
  </si>
  <si>
    <t>Summer Season (7/1 - 7/18)</t>
  </si>
  <si>
    <t>Fall Season (7/19 - 8/31)</t>
  </si>
  <si>
    <t>7/1-7/9</t>
  </si>
  <si>
    <t>7/10-7/18</t>
  </si>
  <si>
    <t>7/19-7/23</t>
  </si>
  <si>
    <t>7/24-8/4</t>
  </si>
  <si>
    <t>8/5-8/13</t>
  </si>
  <si>
    <t>8/14-8/31</t>
  </si>
  <si>
    <t>7/1-7/8</t>
  </si>
  <si>
    <t>7/9-7/18</t>
  </si>
  <si>
    <t>7/19-7/22</t>
  </si>
  <si>
    <t>7/23-7/27</t>
  </si>
  <si>
    <t>7/28-8/5</t>
  </si>
  <si>
    <t>8/6-8/12</t>
  </si>
  <si>
    <t>8/13-8/16</t>
  </si>
  <si>
    <t>8/17-8/24</t>
  </si>
  <si>
    <t>8/25-8/31</t>
  </si>
  <si>
    <t>GROUP</t>
  </si>
  <si>
    <t>MEAN</t>
  </si>
  <si>
    <t>8/3-8/8</t>
  </si>
  <si>
    <t>8/9-8/13</t>
  </si>
  <si>
    <t>8/14-8/18</t>
  </si>
  <si>
    <t>8/19-8/24</t>
  </si>
  <si>
    <t>Summer season (7/1 - 7/18)</t>
  </si>
  <si>
    <t>Fall season (7/19 - 8/31)</t>
  </si>
  <si>
    <t>Summer season (7/1-7/18)</t>
  </si>
  <si>
    <t>Est</t>
  </si>
  <si>
    <t>6/9 to 6/15</t>
  </si>
  <si>
    <t>6/16 to 6/22</t>
  </si>
  <si>
    <t>6/23 to 6/29</t>
  </si>
  <si>
    <t>6/30 to 7/6</t>
  </si>
  <si>
    <t>7/7 to 7/13</t>
  </si>
  <si>
    <t>7/14 to 7/18</t>
  </si>
  <si>
    <t>7/19 to 7/27</t>
  </si>
  <si>
    <t>7/28 to 8/5</t>
  </si>
  <si>
    <t>8/6 to 8/14</t>
  </si>
  <si>
    <t>8/15 to 8/18</t>
  </si>
  <si>
    <t>MiddleSummer</t>
  </si>
  <si>
    <t>8/19 to 8/26</t>
  </si>
  <si>
    <t>8/27 to 9/7</t>
  </si>
  <si>
    <t>UppKoy+MidMain</t>
  </si>
  <si>
    <t>6/8 to 6/15</t>
  </si>
  <si>
    <t>97.5 M</t>
  </si>
  <si>
    <t>7/28 to 8/4</t>
  </si>
  <si>
    <t>8/5 to 8/14</t>
  </si>
  <si>
    <t>8/15 to 8/24</t>
  </si>
  <si>
    <t>8/25 to 9/7</t>
  </si>
  <si>
    <t xml:space="preserve">Season total (6/8 to 9/7) </t>
  </si>
  <si>
    <t xml:space="preserve">Summer season total (6/8 to 7/18) </t>
  </si>
  <si>
    <t xml:space="preserve">Fall season total (7/19 to 9/7) </t>
  </si>
  <si>
    <t xml:space="preserve">Season total (7/1 to 8/31) </t>
  </si>
  <si>
    <t xml:space="preserve">Season total (6/9 to 9/7) </t>
  </si>
  <si>
    <t>Summer season total (6/9 to 7/18)</t>
  </si>
  <si>
    <t>Season total (6/11 to 9/7) stock composition estimates</t>
  </si>
  <si>
    <t>Middle</t>
  </si>
  <si>
    <t>UppKoy+Middle Main</t>
  </si>
  <si>
    <t>Tanana</t>
  </si>
  <si>
    <t>BorderCanada</t>
  </si>
  <si>
    <t>UpperCanada</t>
  </si>
  <si>
    <t>Mainstem+UpperCanada</t>
  </si>
  <si>
    <t>Summer season total (6/11 to 7/18) stock composition estimates</t>
  </si>
  <si>
    <t>Fall season total (7/19 to 9/7) stock composition estimates</t>
  </si>
  <si>
    <t>Summer 1 = 6/12-6/21</t>
  </si>
  <si>
    <t>N = 288</t>
  </si>
  <si>
    <t>95 CI</t>
  </si>
  <si>
    <t>UppKoy</t>
  </si>
  <si>
    <t>Summer 2 = 6/22-6/28</t>
  </si>
  <si>
    <t>Summer 3 = 6/29-7/5</t>
  </si>
  <si>
    <t>Summer 4 = 7/6-7/12</t>
  </si>
  <si>
    <t>Summer 5 = 7/13-7/18</t>
  </si>
  <si>
    <t>N = 160</t>
  </si>
  <si>
    <t>Fall 1 = 7/19-7/27</t>
  </si>
  <si>
    <t>Fall 2 = 7/28-8/10</t>
  </si>
  <si>
    <t>Fall 3 = 8/11-17</t>
  </si>
  <si>
    <t>N = 229</t>
  </si>
  <si>
    <t>Fall 4 = 8/18-22</t>
  </si>
  <si>
    <t>Fall 5 = 8/23-9/7</t>
  </si>
  <si>
    <t>N = 278</t>
  </si>
  <si>
    <t>Season total (6/6 to 9/7) stock composition estimates</t>
  </si>
  <si>
    <t>UppKoy+Main</t>
  </si>
  <si>
    <t>Summer season total (6/6 to 7/18) stock composition estimates</t>
  </si>
  <si>
    <t>Summer 1 = 6/6-13</t>
  </si>
  <si>
    <t>Summer 2 = 6/14-19</t>
  </si>
  <si>
    <t>Summer 3 = 6/20-27</t>
  </si>
  <si>
    <t>Summer 4 = 6/28-7/5</t>
  </si>
  <si>
    <t>Summer 5 = 7/6-7/11</t>
  </si>
  <si>
    <t>Summer 6 = 7/12-7/18</t>
  </si>
  <si>
    <t>Fall 1 = 7/19-7/25</t>
  </si>
  <si>
    <t>Fall 2 = 7/26-8/5</t>
  </si>
  <si>
    <t>Fall 3 = 8/6-8/11</t>
  </si>
  <si>
    <t>Fall 4 = 8/12-8/21</t>
  </si>
  <si>
    <t>Fall 5 = 8/22-8/26</t>
  </si>
  <si>
    <t>Season total (6/12 to 9/7) stock composition estimates</t>
  </si>
  <si>
    <t>Summer season total (6/12 to 7/18) stock composition estimates</t>
  </si>
  <si>
    <t>Summer 1 = 6/12-18</t>
  </si>
  <si>
    <t>Summer 2 = 6/19-25</t>
  </si>
  <si>
    <t>Summer 3 = 6/26-7/2</t>
  </si>
  <si>
    <t>Summer 4 = 7/3-9</t>
  </si>
  <si>
    <t>Summer 5 = 7/10-18</t>
  </si>
  <si>
    <t>Fall 1 = 7/19-24</t>
  </si>
  <si>
    <t>Fall 2 = 7/25-8/2</t>
  </si>
  <si>
    <t>Fall 3 = 8/3-8/10</t>
  </si>
  <si>
    <t>Fall 4 = 8/11-22</t>
  </si>
  <si>
    <t>N = 203</t>
  </si>
  <si>
    <t>Season total (6/13 to 9/7) stock composition estimates</t>
  </si>
  <si>
    <t>Summer season total (6/13 to 7/18) stock composition estimates</t>
  </si>
  <si>
    <t>Summer 1 = 6/13-24</t>
  </si>
  <si>
    <t>Summer 2 = 6/25-7/4</t>
  </si>
  <si>
    <t>Summer 3 = 7/5-7/11</t>
  </si>
  <si>
    <t>Summer 4 = 7/12-7/18</t>
  </si>
  <si>
    <t>Fall 1 = 7/19-7/29</t>
  </si>
  <si>
    <t>Fall 2 = 7/30-8/6</t>
  </si>
  <si>
    <t>N = 224</t>
  </si>
  <si>
    <t>Fall 3 = 8/7-16</t>
  </si>
  <si>
    <t>Fall 4 = 8/17-22</t>
  </si>
  <si>
    <t>Fall 5 = 8/23 - 9/7</t>
  </si>
  <si>
    <t>N = 238</t>
  </si>
  <si>
    <t>Season total (6/1 to 9/7) stock composition estimates</t>
  </si>
  <si>
    <t>Summer season total (6/1 to 7/18) stock composition estimates</t>
  </si>
  <si>
    <t>Summer 1 = 6/1-8</t>
  </si>
  <si>
    <t>N = 192</t>
  </si>
  <si>
    <t>Summer 2 = 6/9-15</t>
  </si>
  <si>
    <t>Summer 3 = 6/16-22</t>
  </si>
  <si>
    <t>Summer 4 = 6/23-29</t>
  </si>
  <si>
    <t>Summer 5 = 6/30-7/6</t>
  </si>
  <si>
    <t>Summer 6 = 7/7-7/13</t>
  </si>
  <si>
    <t>N = 248</t>
  </si>
  <si>
    <t>Summer 7 = 7/14-7/18</t>
  </si>
  <si>
    <t>Fall 2 = 7/28 - 8/6</t>
  </si>
  <si>
    <t>Fall 3 = 8/7 - 8/17</t>
  </si>
  <si>
    <t>Fall 4 = 8/18 - 8/24</t>
  </si>
  <si>
    <t>Fall 5 = 8/25 - 9/7</t>
  </si>
  <si>
    <t>N = 164</t>
  </si>
  <si>
    <t>Season total (5/30 to 8/31) stock composition estimates</t>
  </si>
  <si>
    <t>BorderUS+Porcupine</t>
  </si>
  <si>
    <t>Summer season total (5/30 to 7/18) stock composition estimates</t>
  </si>
  <si>
    <t>Fall season total (7/19 to 8/31) stock composition estimates</t>
  </si>
  <si>
    <t>Summer 1 = 5/30-6/21</t>
  </si>
  <si>
    <t>Summer 2 = 6/22-7/5</t>
  </si>
  <si>
    <t>Summer 3 = 7/6-7/18</t>
  </si>
  <si>
    <t>Fall 1 = 7/19-7/22</t>
  </si>
  <si>
    <t>Fall 2 = 7/23-8/2</t>
  </si>
  <si>
    <t>Fall 3 = 8/3-8/11</t>
  </si>
  <si>
    <t>N = 270</t>
  </si>
  <si>
    <t>Fall 4 = 8/12-8/16</t>
  </si>
  <si>
    <t>Fall 5 = 8/17-8/24</t>
  </si>
  <si>
    <t>Fall 6 = 8/25-8/31</t>
  </si>
  <si>
    <t>N = 265</t>
  </si>
  <si>
    <t>Mixed-stock estimates were derived using Bayesian mixture modeling as implemented in the computer program cBayes (Pella and Masuda 2001; Neaves et al. 2005). Estimates are reported for the following groups:</t>
  </si>
  <si>
    <t>*Reporting groups are comprised of the following populations:</t>
  </si>
  <si>
    <t>Summer – Lower, Middle</t>
  </si>
  <si>
    <t>Lower – Andreafsky, Anvik, California, Chulinak, Nulato, Gisasa, Melozitna, Tolstoi, Rodo, Kaltag, Clear, Dakli</t>
  </si>
  <si>
    <t xml:space="preserve">Middle – UppKoy+Main, Tanana Summer </t>
  </si>
  <si>
    <t>UppKoy+Main – Tozitna, Henshaw, Jim, South Fork Koyukuk (early and late run)</t>
  </si>
  <si>
    <t xml:space="preserve">Tanana Summer – Chena, Salcha </t>
  </si>
  <si>
    <t>Fall – Tanana Fall, Border U.S., Border Canada, Upper Canada</t>
  </si>
  <si>
    <t>Tanana Fall – Delta, Toklat, Kantishna, Tanana main stem,  Bluff Cabin, Nenana</t>
  </si>
  <si>
    <t>Border U.S. – Big Salt, Chandalar, Sheenjek, Black</t>
  </si>
  <si>
    <t>Fall U.S. – Tanana Fall, Border U.S.</t>
  </si>
  <si>
    <t>U.S. – Lower, Middle, Tanana Fall, Border U.S.</t>
  </si>
  <si>
    <t>Border Canada – Porcupine, Mainstem</t>
  </si>
  <si>
    <t>Porcupine – Fishing Branch</t>
  </si>
  <si>
    <t>Mainstem – Big Creek, Tatchun, Minto, Pelly</t>
  </si>
  <si>
    <t>Upper Canada – White, Teslin</t>
  </si>
  <si>
    <t>White – Kluane, Donjek</t>
  </si>
  <si>
    <t>Teslin – Teslin</t>
  </si>
  <si>
    <t>Canada – Border Canada, Upper Canada</t>
  </si>
  <si>
    <t>UppKoy+Main – Tozitna, Henshaw, Jim, South Fork Koyukuk (early and late run), Middle Fork Koyukuk</t>
  </si>
  <si>
    <t>Summer 3 = 6/29-7/9</t>
  </si>
  <si>
    <t>Summer 4 = 7/10 -7/18</t>
  </si>
  <si>
    <t>Fall 1 = 7/19 -7/25</t>
  </si>
  <si>
    <t>Fall 2 = 7/26 -8/7</t>
  </si>
  <si>
    <t>Fall 3 = 8/8 -8/21</t>
  </si>
  <si>
    <t>Fall 4 = 8/22 -8/31</t>
  </si>
  <si>
    <t>N = 400</t>
  </si>
  <si>
    <t>Season total (5/31 to 9/7) stock composition estimates</t>
  </si>
  <si>
    <t>Summer season total (5/31 to 7/18) stock composition estimates</t>
  </si>
  <si>
    <t>Summer 1 = 5/31-6/19</t>
  </si>
  <si>
    <t>Summer 2 = 6/20-6/26</t>
  </si>
  <si>
    <t>Summer 3 = 6/27-7/9</t>
  </si>
  <si>
    <t>Summer 4 = 7/10-18</t>
  </si>
  <si>
    <t>Fall 1 = 7/19-22</t>
  </si>
  <si>
    <t>Fall 3 = 8/3-8/12</t>
  </si>
  <si>
    <t>N = 240</t>
  </si>
  <si>
    <t>Fall 4 = 8/13-20</t>
  </si>
  <si>
    <t>Fall 5 = 8/21-28</t>
  </si>
  <si>
    <t>Fall 6 = 8/29-9/7</t>
  </si>
  <si>
    <t>N = 255</t>
  </si>
  <si>
    <t>Summer 1 = 6/1-6/18</t>
  </si>
  <si>
    <t>Summer 2 = 6/19-6/26</t>
  </si>
  <si>
    <t>Summer 3 = 6/27-7/8</t>
  </si>
  <si>
    <t>Summer 4 = 7/9-7/18</t>
  </si>
  <si>
    <t>Fall 2 = 7/26-8/8</t>
  </si>
  <si>
    <t>Fall 3 = 8/9-8/15</t>
  </si>
  <si>
    <t>N = 287</t>
  </si>
  <si>
    <t>Fall 4 = 8/16-8/19</t>
  </si>
  <si>
    <t>N = 275</t>
  </si>
  <si>
    <t>Fall 5 = 8/20-8/23</t>
  </si>
  <si>
    <t>Fall 4&amp;5 = 8/16-8/23</t>
  </si>
  <si>
    <t>Weighted Average</t>
  </si>
  <si>
    <t>Fall 6 = 8/24-9/2</t>
  </si>
  <si>
    <t>Fall 7 = 9/3-9/7</t>
  </si>
  <si>
    <t>N = 243</t>
  </si>
  <si>
    <t>Fall 6&amp;7 = 8/24-9/7</t>
  </si>
  <si>
    <t>Season total (6/4 to 8/31) stock composition estimates</t>
  </si>
  <si>
    <t>Summer season total (6/4 to 7/18) stock composition estimates</t>
  </si>
  <si>
    <t>Summer 1 = 6/4-6/24</t>
  </si>
  <si>
    <t>N = 263</t>
  </si>
  <si>
    <t>Summer 2 = 6/25-7/7</t>
  </si>
  <si>
    <t>Summer 3 = 7/8-7/18</t>
  </si>
  <si>
    <t>Fall 1 = 7/19-7/26</t>
  </si>
  <si>
    <t>Fall 2 = 7/27-8/9</t>
  </si>
  <si>
    <t>Fall 3 = 8/10-8/20</t>
  </si>
  <si>
    <t>Fall 4 = 8/21-8/31</t>
  </si>
  <si>
    <t>Season total (6/7 to 9/7) stock composition estimates</t>
  </si>
  <si>
    <t>Summer season total (6/7 to 7/18) stock composition estimates</t>
  </si>
  <si>
    <t>Summer 1 = 6/7-6/28</t>
  </si>
  <si>
    <t>Summer 2 = 6/29-7/9</t>
  </si>
  <si>
    <t>Summer 3 = 7/10-18</t>
  </si>
  <si>
    <t>N = 280</t>
  </si>
  <si>
    <t>Fall 1 = 7/19-8/2</t>
  </si>
  <si>
    <t>Fall 2 = 8/3-8/16</t>
  </si>
  <si>
    <t>N = 262</t>
  </si>
  <si>
    <t>Fall 3 = 8/17-8/27</t>
  </si>
  <si>
    <t>N = 272</t>
  </si>
  <si>
    <t>Fall 4 = 8/28-9/7</t>
  </si>
  <si>
    <t>N = 145</t>
  </si>
  <si>
    <t>Season total (June 7 to September 7) stock composition estimates</t>
  </si>
  <si>
    <t>Summer season total (June 7 to July 18) stock composition estimates</t>
  </si>
  <si>
    <t>Fall season total (July 19 to September 7) stock composition estimates</t>
  </si>
  <si>
    <t>Summer 1 = June 7 - July 2</t>
  </si>
  <si>
    <t>N = 180</t>
  </si>
  <si>
    <t>Summer 2 = July 3 - 18</t>
  </si>
  <si>
    <t>Fall 1 = July 19 - August 5</t>
  </si>
  <si>
    <t>N = 236</t>
  </si>
  <si>
    <t xml:space="preserve">Fall 2 = August 6 - 22 </t>
  </si>
  <si>
    <t>N = 220</t>
  </si>
  <si>
    <t>Fall 3 = August 23 - September 7</t>
  </si>
  <si>
    <t>Season total (June 12 to September 7) stock composition estimates</t>
  </si>
  <si>
    <t>Summer season total (June 12 to July 18) stock composition estimates</t>
  </si>
  <si>
    <t>Summer 1 = 6/12-28</t>
  </si>
  <si>
    <t>Fall 1 = 7/19-28</t>
  </si>
  <si>
    <t>Fall 2 = 7/29-8/14</t>
  </si>
  <si>
    <t>Fall 3 = 8/15-8/23</t>
  </si>
  <si>
    <t>Fall 4 = 8/24-9/7</t>
  </si>
  <si>
    <t>N = 251</t>
  </si>
  <si>
    <t>Summer 1 = 6/12-25</t>
  </si>
  <si>
    <t>Summer 2 = 6/26-7/8</t>
  </si>
  <si>
    <t>Summer 3 = 7/9-7/18</t>
  </si>
  <si>
    <t>Fall 1 = 7/19-7/31</t>
  </si>
  <si>
    <t>Fall 2 = 8/1-8/13</t>
  </si>
  <si>
    <t>Fall 3 = 8/14-8/27</t>
  </si>
  <si>
    <t>Season total (June 6 to September 7) stock composition estimates</t>
  </si>
  <si>
    <t>Summer season total (June 6 to July 18) stock composition estimates</t>
  </si>
  <si>
    <t>Summer 1 = 6/6-23</t>
  </si>
  <si>
    <t>N = 169</t>
  </si>
  <si>
    <t xml:space="preserve">Mixed-stock estimates were derived using Bayesian mixture modeling as implemented in the computer program </t>
  </si>
  <si>
    <t>cBayes (Pella and Masuda 2001; Neaves et al. 2005). Estimates are reported for the following groups:</t>
  </si>
  <si>
    <t>Summer 2 = 6/24-7/7</t>
  </si>
  <si>
    <t>Fall 1 = 7/19 - 8/6</t>
  </si>
  <si>
    <t>Fall 2 =  8/7 - 8/19</t>
  </si>
  <si>
    <t>N = 258</t>
  </si>
  <si>
    <t>Fall 3 =  8/20 - 8/26</t>
  </si>
  <si>
    <t>Fall 4 =  8/27 - 9/7</t>
  </si>
  <si>
    <t>N = 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</si>
</sst>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26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164" fontId="1" fillId="0" borderId="0" xfId="0" applyNumberFormat="1" applyFont="1" applyAlignment="1">
      <alignment wrapText="1"/>
    </xf>
    <xf numFmtId="14" fontId="0" fillId="0" borderId="0" xfId="0" applyNumberFormat="1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/>
    <xf numFmtId="165" fontId="0" fillId="0" borderId="0" xfId="0" applyNumberFormat="1"/>
    <xf numFmtId="0" fontId="5" fillId="0" borderId="0" xfId="0" applyFont="1"/>
    <xf numFmtId="165" fontId="3" fillId="0" borderId="0" xfId="1" applyNumberFormat="1"/>
    <xf numFmtId="0" fontId="0" fillId="0" borderId="0" xfId="0" applyAlignment="1">
      <alignment horizontal="center"/>
    </xf>
    <xf numFmtId="165" fontId="5" fillId="0" borderId="0" xfId="0" applyNumberFormat="1" applyFont="1"/>
    <xf numFmtId="0" fontId="6" fillId="0" borderId="0" xfId="0" applyFont="1" applyAlignment="1">
      <alignment horizontal="left" vertical="center" readingOrder="1"/>
    </xf>
    <xf numFmtId="0" fontId="7" fillId="0" borderId="0" xfId="0" applyFont="1" applyAlignment="1">
      <alignment horizontal="left" vertical="center" readingOrder="1"/>
    </xf>
    <xf numFmtId="0" fontId="7" fillId="0" borderId="0" xfId="0" applyFont="1" applyAlignment="1">
      <alignment horizontal="left" vertical="center"/>
    </xf>
    <xf numFmtId="0" fontId="6" fillId="0" borderId="0" xfId="0" applyFont="1"/>
    <xf numFmtId="0" fontId="5" fillId="0" borderId="0" xfId="2"/>
    <xf numFmtId="0" fontId="5" fillId="0" borderId="0" xfId="2" applyAlignment="1">
      <alignment horizontal="center"/>
    </xf>
    <xf numFmtId="0" fontId="5" fillId="0" borderId="0" xfId="2" applyAlignment="1">
      <alignment horizontal="right"/>
    </xf>
    <xf numFmtId="165" fontId="5" fillId="0" borderId="0" xfId="0" applyNumberFormat="1" applyFont="1" applyAlignment="1">
      <alignment horizontal="center"/>
    </xf>
    <xf numFmtId="0" fontId="8" fillId="0" borderId="0" xfId="0" applyFont="1" applyAlignment="1">
      <alignment horizontal="left" vertical="center" readingOrder="1"/>
    </xf>
    <xf numFmtId="0" fontId="8" fillId="0" borderId="0" xfId="0" applyFont="1" applyAlignment="1">
      <alignment horizontal="left" vertical="center"/>
    </xf>
  </cellXfs>
  <cellStyles count="3">
    <cellStyle name="Normal" xfId="0" builtinId="0"/>
    <cellStyle name="Normal 2" xfId="1" xr:uid="{198305CE-E67C-4567-8FF8-2AF6DDD9E563}"/>
    <cellStyle name="Normal 3" xfId="2" xr:uid="{9D8657CE-D798-4C46-9C11-26BC5AFA4F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_JournalSubmission\Supplement%20S5%20Genetic%20stock%20composition%20data%20for%20Yukon%20River%20Chum%20Salmon%202004-2024\Yukon%20chum%20estimates%202018.xlsx" TargetMode="External"/><Relationship Id="rId1" Type="http://schemas.openxmlformats.org/officeDocument/2006/relationships/externalLinkPath" Target="Yukon%20chum%20estimates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er 1"/>
      <sheetName val="Summer 2"/>
      <sheetName val="Summer 3"/>
      <sheetName val="Summer 4"/>
      <sheetName val="Fall 1"/>
      <sheetName val="Fall 2"/>
      <sheetName val="Fall 3"/>
      <sheetName val="Fall 4"/>
      <sheetName val="Fall 5"/>
      <sheetName val="Fall 4&amp;5"/>
      <sheetName val="Fall 6"/>
      <sheetName val="Fall 7"/>
      <sheetName val="Fall 6&amp;7"/>
      <sheetName val="Season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/>
      <sheetData sheetId="1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D4976-1703-4467-B998-7719859BD9A6}">
  <dimension ref="A1:AI2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35" sqref="F35"/>
    </sheetView>
  </sheetViews>
  <sheetFormatPr defaultRowHeight="15" x14ac:dyDescent="0.25"/>
  <cols>
    <col min="1" max="1" width="18.85546875" customWidth="1"/>
  </cols>
  <sheetData>
    <row r="1" spans="1:35" x14ac:dyDescent="0.25">
      <c r="B1" t="s">
        <v>0</v>
      </c>
      <c r="C1" t="s">
        <v>25</v>
      </c>
      <c r="G1" t="s">
        <v>1</v>
      </c>
      <c r="H1" t="s">
        <v>26</v>
      </c>
      <c r="L1" t="s">
        <v>2</v>
      </c>
      <c r="M1" t="s">
        <v>27</v>
      </c>
      <c r="Q1" t="s">
        <v>3</v>
      </c>
      <c r="R1" t="s">
        <v>28</v>
      </c>
      <c r="V1" t="s">
        <v>4</v>
      </c>
      <c r="W1" t="s">
        <v>29</v>
      </c>
      <c r="AA1" t="s">
        <v>5</v>
      </c>
      <c r="AB1" t="s">
        <v>30</v>
      </c>
      <c r="AF1" t="s">
        <v>24</v>
      </c>
    </row>
    <row r="2" spans="1:35" x14ac:dyDescent="0.25">
      <c r="B2" t="s">
        <v>6</v>
      </c>
      <c r="C2" t="s">
        <v>7</v>
      </c>
      <c r="D2" t="s">
        <v>8</v>
      </c>
      <c r="G2" t="s">
        <v>6</v>
      </c>
      <c r="H2" t="s">
        <v>7</v>
      </c>
      <c r="I2" t="s">
        <v>8</v>
      </c>
      <c r="L2" t="s">
        <v>6</v>
      </c>
      <c r="M2" t="s">
        <v>7</v>
      </c>
      <c r="N2" t="s">
        <v>8</v>
      </c>
      <c r="Q2" t="s">
        <v>6</v>
      </c>
      <c r="R2" t="s">
        <v>7</v>
      </c>
      <c r="S2" t="s">
        <v>8</v>
      </c>
      <c r="V2" t="s">
        <v>6</v>
      </c>
      <c r="W2" t="s">
        <v>7</v>
      </c>
      <c r="X2" t="s">
        <v>8</v>
      </c>
      <c r="AA2" t="s">
        <v>6</v>
      </c>
      <c r="AB2" t="s">
        <v>7</v>
      </c>
      <c r="AC2" t="s">
        <v>8</v>
      </c>
      <c r="AF2" t="s">
        <v>6</v>
      </c>
      <c r="AG2" t="s">
        <v>7</v>
      </c>
      <c r="AH2" t="s">
        <v>8</v>
      </c>
    </row>
    <row r="3" spans="1:35" x14ac:dyDescent="0.25">
      <c r="A3" t="s">
        <v>9</v>
      </c>
      <c r="B3" s="1">
        <v>0.43226022129999814</v>
      </c>
      <c r="C3" s="1">
        <v>8.1912766137864787E-2</v>
      </c>
      <c r="D3" s="1">
        <v>0.27904294999999996</v>
      </c>
      <c r="E3" s="1">
        <v>0.59841572500000006</v>
      </c>
      <c r="G3" s="1">
        <v>8.5503924300001491E-2</v>
      </c>
      <c r="H3" s="1">
        <v>8.4490191653691454E-2</v>
      </c>
      <c r="I3" s="1">
        <v>2.1999999999999999E-5</v>
      </c>
      <c r="J3" s="1">
        <v>0.29251270000000013</v>
      </c>
      <c r="L3" s="1">
        <v>0.10636882075000063</v>
      </c>
      <c r="M3" s="1">
        <v>9.0311426414095827E-2</v>
      </c>
      <c r="N3" s="1">
        <v>7.0197500000000019E-4</v>
      </c>
      <c r="O3" s="1">
        <v>0.32495885000000013</v>
      </c>
      <c r="Q3" s="1">
        <v>0.13383510030000048</v>
      </c>
      <c r="R3" s="1">
        <v>9.0395694591370146E-2</v>
      </c>
      <c r="S3" s="1">
        <v>7.0217750000000009E-3</v>
      </c>
      <c r="T3" s="1">
        <v>0.34957612500000002</v>
      </c>
      <c r="V3" s="1">
        <v>9.9414740290310763E-2</v>
      </c>
      <c r="W3" s="1">
        <v>9.1194973263451468E-2</v>
      </c>
      <c r="X3" s="1">
        <v>6.3E-5</v>
      </c>
      <c r="Y3" s="1">
        <v>0.32045024999999999</v>
      </c>
      <c r="AA3" s="1">
        <v>2.895040765000086E-2</v>
      </c>
      <c r="AB3" s="1">
        <v>4.3677143227962283E-2</v>
      </c>
      <c r="AC3" s="1">
        <v>1.9999999999999999E-6</v>
      </c>
      <c r="AD3" s="1">
        <v>0.16000904999999999</v>
      </c>
      <c r="AF3" s="1">
        <v>0.13550833935024967</v>
      </c>
      <c r="AG3" s="1">
        <v>3.3932329028828555E-2</v>
      </c>
      <c r="AH3" s="1">
        <v>6.90009744537457E-2</v>
      </c>
      <c r="AI3" s="1">
        <v>0.20201570424675364</v>
      </c>
    </row>
    <row r="4" spans="1:35" x14ac:dyDescent="0.25">
      <c r="A4" t="s">
        <v>10</v>
      </c>
      <c r="B4" s="1">
        <v>0.37833482579999689</v>
      </c>
      <c r="C4" s="1">
        <v>9.3845783182155543E-2</v>
      </c>
      <c r="D4" s="1">
        <v>0.21392797500000002</v>
      </c>
      <c r="E4" s="1">
        <v>0.57635127499999994</v>
      </c>
      <c r="G4" s="1">
        <v>8.0095638150001564E-2</v>
      </c>
      <c r="H4" s="1">
        <v>8.4564123169722311E-2</v>
      </c>
      <c r="I4" s="1">
        <v>0</v>
      </c>
      <c r="J4" s="1">
        <v>0.28841377500000004</v>
      </c>
      <c r="L4" s="1">
        <v>0.10107749536666633</v>
      </c>
      <c r="M4" s="1">
        <v>9.0994104367288997E-2</v>
      </c>
      <c r="N4" s="1">
        <v>4.1E-5</v>
      </c>
      <c r="O4" s="1">
        <v>0.32194325000000001</v>
      </c>
      <c r="Q4" s="1">
        <v>8.7266539666667725E-2</v>
      </c>
      <c r="R4" s="1">
        <v>9.0529623614316532E-2</v>
      </c>
      <c r="S4" s="1">
        <v>1.2E-5</v>
      </c>
      <c r="T4" s="1">
        <v>0.32628507499999998</v>
      </c>
      <c r="V4" s="1">
        <v>8.2040584690076579E-2</v>
      </c>
      <c r="W4" s="1">
        <v>9.088601564684011E-2</v>
      </c>
      <c r="X4" s="1">
        <v>0</v>
      </c>
      <c r="Y4" s="1">
        <v>0.30827650000000001</v>
      </c>
      <c r="AA4" s="1">
        <v>2.4534404100001333E-2</v>
      </c>
      <c r="AB4" s="1">
        <v>4.2630203310482978E-2</v>
      </c>
      <c r="AC4" s="1">
        <v>0</v>
      </c>
      <c r="AD4" s="1">
        <v>0.15579337500000021</v>
      </c>
      <c r="AF4" s="1">
        <v>0.11894476455734862</v>
      </c>
      <c r="AG4" s="1">
        <v>3.4673372644189925E-2</v>
      </c>
      <c r="AH4" s="1">
        <v>5.0984954174736363E-2</v>
      </c>
      <c r="AI4" s="1">
        <v>0.18690457493996088</v>
      </c>
    </row>
    <row r="5" spans="1:35" x14ac:dyDescent="0.25">
      <c r="A5" t="s">
        <v>36</v>
      </c>
      <c r="B5" s="1">
        <v>5.3925395500000771E-2</v>
      </c>
      <c r="C5" s="1">
        <v>6.4214947836768177E-2</v>
      </c>
      <c r="D5" s="1">
        <v>0</v>
      </c>
      <c r="E5" s="1">
        <v>0.20718430000000002</v>
      </c>
      <c r="G5" s="1">
        <v>5.4082861499997652E-3</v>
      </c>
      <c r="H5" s="1">
        <v>1.4225982056546252E-2</v>
      </c>
      <c r="I5" s="1">
        <v>0</v>
      </c>
      <c r="J5" s="1">
        <v>4.9774325000000015E-2</v>
      </c>
      <c r="L5" s="1">
        <v>5.2913253833330167E-3</v>
      </c>
      <c r="M5" s="1">
        <v>1.3566199936231454E-2</v>
      </c>
      <c r="N5" s="1">
        <v>0</v>
      </c>
      <c r="O5" s="1">
        <v>4.7870250000000017E-2</v>
      </c>
      <c r="Q5" s="1">
        <v>4.6568560633334664E-2</v>
      </c>
      <c r="R5" s="1">
        <v>5.7385652015829243E-2</v>
      </c>
      <c r="S5" s="1">
        <v>0</v>
      </c>
      <c r="T5" s="1">
        <v>0.18780365000000004</v>
      </c>
      <c r="V5" s="1">
        <v>1.737415560023485E-2</v>
      </c>
      <c r="W5" s="1">
        <v>3.4008999627991164E-2</v>
      </c>
      <c r="X5" s="1">
        <v>0</v>
      </c>
      <c r="Y5" s="1">
        <v>0.12168424999999999</v>
      </c>
      <c r="AA5" s="1">
        <v>4.4160035499998035E-3</v>
      </c>
      <c r="AB5" s="1">
        <v>1.2646965000973447E-2</v>
      </c>
      <c r="AC5" s="1">
        <v>0</v>
      </c>
      <c r="AD5" s="1">
        <v>4.2800024999999998E-2</v>
      </c>
      <c r="AF5" s="1">
        <v>1.6563574792900961E-2</v>
      </c>
      <c r="AG5" s="1">
        <v>1.2466105581808766E-2</v>
      </c>
      <c r="AH5" s="1">
        <v>0</v>
      </c>
      <c r="AI5" s="1">
        <v>4.0997141733246145E-2</v>
      </c>
    </row>
    <row r="6" spans="1:35" x14ac:dyDescent="0.25">
      <c r="A6" t="s">
        <v>11</v>
      </c>
      <c r="B6" s="1">
        <v>0.56773975878333316</v>
      </c>
      <c r="C6" s="1">
        <v>8.1912761912911192E-2</v>
      </c>
      <c r="D6" s="1">
        <v>0.40158524999999995</v>
      </c>
      <c r="E6" s="1">
        <v>0.72095704999999999</v>
      </c>
      <c r="G6" s="1">
        <v>0.91449605353332697</v>
      </c>
      <c r="H6" s="1">
        <v>8.4490192806822212E-2</v>
      </c>
      <c r="I6" s="1">
        <v>0.70748635000000004</v>
      </c>
      <c r="J6" s="1">
        <v>0.99997800000000003</v>
      </c>
      <c r="L6" s="1">
        <v>0.89363115599999632</v>
      </c>
      <c r="M6" s="1">
        <v>9.0311428808346847E-2</v>
      </c>
      <c r="N6" s="1">
        <v>0.67504114999999987</v>
      </c>
      <c r="O6" s="1">
        <v>0.99929899999999994</v>
      </c>
      <c r="Q6" s="1">
        <v>0.86616486833332795</v>
      </c>
      <c r="R6" s="1">
        <v>9.0395696846389498E-2</v>
      </c>
      <c r="S6" s="1">
        <v>0.65042385000000003</v>
      </c>
      <c r="T6" s="1">
        <v>0.99297922499999991</v>
      </c>
      <c r="V6" s="1">
        <v>0.90058523319601602</v>
      </c>
      <c r="W6" s="1">
        <v>9.1194972861166582E-2</v>
      </c>
      <c r="X6" s="1">
        <v>0.67954975000000006</v>
      </c>
      <c r="Y6" s="1">
        <v>0.99993700000000008</v>
      </c>
      <c r="AA6" s="1">
        <v>0.97104955831663331</v>
      </c>
      <c r="AB6" s="1">
        <v>4.3677137497399453E-2</v>
      </c>
      <c r="AC6" s="1">
        <v>0.83998997500000006</v>
      </c>
      <c r="AD6" s="1">
        <v>0.99999799999999994</v>
      </c>
      <c r="AF6" s="1">
        <v>0.86449163491121395</v>
      </c>
      <c r="AG6" s="1">
        <v>3.3932328848865559E-2</v>
      </c>
      <c r="AH6" s="1">
        <v>0.79798427036743746</v>
      </c>
      <c r="AI6" s="1">
        <v>0.93099899945499043</v>
      </c>
    </row>
    <row r="7" spans="1:35" x14ac:dyDescent="0.25">
      <c r="A7" t="s">
        <v>37</v>
      </c>
      <c r="B7" s="1">
        <v>1.9271542533333071E-2</v>
      </c>
      <c r="C7" s="1">
        <v>3.3504456765927879E-2</v>
      </c>
      <c r="D7" s="1">
        <v>0</v>
      </c>
      <c r="E7" s="1">
        <v>0.11816017500000001</v>
      </c>
      <c r="G7" s="1">
        <v>0.20376740376666838</v>
      </c>
      <c r="H7" s="1">
        <v>7.0488722432377166E-2</v>
      </c>
      <c r="I7" s="1">
        <v>6.0563225000000005E-2</v>
      </c>
      <c r="J7" s="1">
        <v>0.34221135000000003</v>
      </c>
      <c r="L7" s="1">
        <v>0.31162235248333425</v>
      </c>
      <c r="M7" s="1">
        <v>6.6293095828408005E-2</v>
      </c>
      <c r="N7" s="1">
        <v>0.18547315</v>
      </c>
      <c r="O7" s="1">
        <v>0.44504267500000005</v>
      </c>
      <c r="Q7" s="1">
        <v>0.32294478329999871</v>
      </c>
      <c r="R7" s="1">
        <v>8.3645348913844966E-2</v>
      </c>
      <c r="S7" s="1">
        <v>0.16633437500000001</v>
      </c>
      <c r="T7" s="1">
        <v>0.49183942500000005</v>
      </c>
      <c r="V7" s="1">
        <v>0.42373125186347826</v>
      </c>
      <c r="W7" s="1">
        <v>7.3157992436207589E-2</v>
      </c>
      <c r="X7" s="1">
        <v>0.279682125</v>
      </c>
      <c r="Y7" s="1">
        <v>0.56548149999999997</v>
      </c>
      <c r="AA7" s="1">
        <v>0.5783219996333292</v>
      </c>
      <c r="AB7" s="1">
        <v>7.0145428169688259E-2</v>
      </c>
      <c r="AC7" s="1">
        <v>0.43802962499999998</v>
      </c>
      <c r="AD7" s="1">
        <v>0.71195050000000004</v>
      </c>
      <c r="AF7" s="1">
        <v>0.3147983009881315</v>
      </c>
      <c r="AG7" s="1">
        <v>2.8901803131267972E-2</v>
      </c>
      <c r="AH7" s="1">
        <v>0.25815076685084626</v>
      </c>
      <c r="AI7" s="1">
        <v>0.37144583512541673</v>
      </c>
    </row>
    <row r="8" spans="1:35" x14ac:dyDescent="0.25">
      <c r="A8" t="s">
        <v>12</v>
      </c>
      <c r="B8" s="1">
        <v>0.34739120638333615</v>
      </c>
      <c r="C8" s="1">
        <v>0.10186631846827585</v>
      </c>
      <c r="D8" s="1">
        <v>0.15424879999999999</v>
      </c>
      <c r="E8" s="1">
        <v>0.54823772500000001</v>
      </c>
      <c r="G8" s="1">
        <v>0.34024545793333</v>
      </c>
      <c r="H8" s="1">
        <v>0.112294158084725</v>
      </c>
      <c r="I8" s="1">
        <v>0.13770505</v>
      </c>
      <c r="J8" s="1">
        <v>0.575842725</v>
      </c>
      <c r="L8" s="1">
        <v>0.22450874850000091</v>
      </c>
      <c r="M8" s="1">
        <v>0.12761921931363898</v>
      </c>
      <c r="N8" s="1">
        <v>5.4795000000000028E-4</v>
      </c>
      <c r="O8" s="1">
        <v>0.49353482500000012</v>
      </c>
      <c r="Q8" s="1">
        <v>0.33092472533333117</v>
      </c>
      <c r="R8" s="1">
        <v>0.10231468392209361</v>
      </c>
      <c r="S8" s="1">
        <v>0.11774752500000001</v>
      </c>
      <c r="T8" s="1">
        <v>0.52219607499999998</v>
      </c>
      <c r="V8" s="1">
        <v>0.15279842717732547</v>
      </c>
      <c r="W8" s="1">
        <v>9.8577325773053642E-2</v>
      </c>
      <c r="X8" s="1">
        <v>5.3999999999999998E-5</v>
      </c>
      <c r="Y8" s="1">
        <v>0.36422537500000002</v>
      </c>
      <c r="AA8" s="1">
        <v>0.25108097499999987</v>
      </c>
      <c r="AB8" s="1">
        <v>0.1038162002992057</v>
      </c>
      <c r="AC8" s="1">
        <v>4.6364500000000029E-3</v>
      </c>
      <c r="AD8" s="1">
        <v>0.43221940000000003</v>
      </c>
      <c r="AF8" s="1">
        <v>0.27352798359015174</v>
      </c>
      <c r="AG8" s="1">
        <v>4.8379321832988063E-2</v>
      </c>
      <c r="AH8" s="1">
        <v>0.17870451279749514</v>
      </c>
      <c r="AI8" s="1">
        <v>0.36835145438280836</v>
      </c>
    </row>
    <row r="9" spans="1:35" x14ac:dyDescent="0.25">
      <c r="A9" t="s">
        <v>13</v>
      </c>
      <c r="B9" s="1">
        <v>0.17101812571666711</v>
      </c>
      <c r="C9" s="1">
        <v>6.6662069318917105E-2</v>
      </c>
      <c r="D9" s="1">
        <v>5.4783699999999998E-2</v>
      </c>
      <c r="E9" s="1">
        <v>0.31623802500000003</v>
      </c>
      <c r="G9" s="1">
        <v>0.23534302673333371</v>
      </c>
      <c r="H9" s="1">
        <v>0.10727125087358556</v>
      </c>
      <c r="I9" s="1">
        <v>0</v>
      </c>
      <c r="J9" s="1">
        <v>0.44923252499999999</v>
      </c>
      <c r="L9" s="1">
        <v>0.25581590063333171</v>
      </c>
      <c r="M9" s="1">
        <v>0.10284094348752496</v>
      </c>
      <c r="N9" s="1">
        <v>4.1647500000000018E-3</v>
      </c>
      <c r="O9" s="1">
        <v>0.44124122500000001</v>
      </c>
      <c r="Q9" s="1">
        <v>2.1631952333333603E-2</v>
      </c>
      <c r="R9" s="1">
        <v>4.3276964612612878E-2</v>
      </c>
      <c r="S9" s="1">
        <v>0</v>
      </c>
      <c r="T9" s="1">
        <v>0.15412325000000002</v>
      </c>
      <c r="V9" s="1">
        <v>0.13324054683208936</v>
      </c>
      <c r="W9" s="1">
        <v>7.0837948434686396E-2</v>
      </c>
      <c r="X9" s="1">
        <v>0</v>
      </c>
      <c r="Y9" s="1">
        <v>0.27892549999999999</v>
      </c>
      <c r="AA9" s="1">
        <v>8.4920227866668682E-2</v>
      </c>
      <c r="AB9" s="1">
        <v>0.1012574065527943</v>
      </c>
      <c r="AC9" s="1">
        <v>0</v>
      </c>
      <c r="AD9" s="1">
        <v>0.33030245000000003</v>
      </c>
      <c r="AF9" s="1">
        <v>0.17104018442207003</v>
      </c>
      <c r="AG9" s="1">
        <v>4.2078792814781142E-2</v>
      </c>
      <c r="AH9" s="1">
        <v>8.8565750505098989E-2</v>
      </c>
      <c r="AI9" s="1">
        <v>0.2535146183390411</v>
      </c>
    </row>
    <row r="10" spans="1:35" x14ac:dyDescent="0.25">
      <c r="A10" t="s">
        <v>14</v>
      </c>
      <c r="B10" s="1">
        <v>0.13806700258333368</v>
      </c>
      <c r="C10" s="1">
        <v>5.9750557133676843E-2</v>
      </c>
      <c r="D10" s="1">
        <v>2.1954875000000006E-2</v>
      </c>
      <c r="E10" s="1">
        <v>0.26169912500000003</v>
      </c>
      <c r="G10" s="1">
        <v>0.13231693856666885</v>
      </c>
      <c r="H10" s="1">
        <v>0.10169217705492893</v>
      </c>
      <c r="I10" s="1">
        <v>0</v>
      </c>
      <c r="J10" s="1">
        <v>0.336505475</v>
      </c>
      <c r="L10" s="1">
        <v>1.0459571316666267E-2</v>
      </c>
      <c r="M10" s="1">
        <v>2.9863282084402993E-2</v>
      </c>
      <c r="N10" s="1">
        <v>0</v>
      </c>
      <c r="O10" s="1">
        <v>0.10956735000000008</v>
      </c>
      <c r="Q10" s="1">
        <v>3.7738148499998642E-3</v>
      </c>
      <c r="R10" s="1">
        <v>1.3131703288904858E-2</v>
      </c>
      <c r="S10" s="1">
        <v>0</v>
      </c>
      <c r="T10" s="1">
        <v>4.3442050000000003E-2</v>
      </c>
      <c r="V10" s="1">
        <v>0.10899624140185783</v>
      </c>
      <c r="W10" s="1">
        <v>6.9240795668463362E-2</v>
      </c>
      <c r="X10" s="1">
        <v>0</v>
      </c>
      <c r="Y10" s="1">
        <v>0.24691012499999998</v>
      </c>
      <c r="AA10" s="1">
        <v>4.4104811166665045E-3</v>
      </c>
      <c r="AB10" s="1">
        <v>1.5004945034564982E-2</v>
      </c>
      <c r="AC10" s="1">
        <v>0</v>
      </c>
      <c r="AD10" s="1">
        <v>5.0753075000000002E-2</v>
      </c>
      <c r="AF10" s="1">
        <v>6.9974829409528511E-2</v>
      </c>
      <c r="AG10" s="1">
        <v>2.8101057486723029E-2</v>
      </c>
      <c r="AH10" s="1">
        <v>1.4896756735551374E-2</v>
      </c>
      <c r="AI10" s="1">
        <v>0.12505290208350564</v>
      </c>
    </row>
    <row r="11" spans="1:35" ht="15.75" x14ac:dyDescent="0.25">
      <c r="A11" t="s">
        <v>15</v>
      </c>
      <c r="B11" s="1">
        <v>3.2951123133334176E-2</v>
      </c>
      <c r="C11" s="1">
        <v>5.8421447532977122E-2</v>
      </c>
      <c r="D11" s="1">
        <v>0</v>
      </c>
      <c r="E11" s="1">
        <v>0.2011262</v>
      </c>
      <c r="G11" s="1">
        <v>0.10302608816666943</v>
      </c>
      <c r="H11" s="1">
        <v>0.11809261023037851</v>
      </c>
      <c r="I11" s="1">
        <v>0</v>
      </c>
      <c r="J11" s="1">
        <v>0.36546055000000005</v>
      </c>
      <c r="L11" s="1">
        <v>0.24535632931666579</v>
      </c>
      <c r="M11" s="1">
        <v>0.10582222068720211</v>
      </c>
      <c r="N11" s="1">
        <v>9.9999999999999995E-7</v>
      </c>
      <c r="O11" s="1">
        <v>0.43402195000000005</v>
      </c>
      <c r="Q11" s="1">
        <v>1.7858137483332811E-2</v>
      </c>
      <c r="R11" s="1">
        <v>4.0352819857792849E-2</v>
      </c>
      <c r="S11" s="1">
        <v>0</v>
      </c>
      <c r="T11" s="1">
        <v>0.14383087500000005</v>
      </c>
      <c r="V11" s="1">
        <v>2.4244305430234817E-2</v>
      </c>
      <c r="W11" s="1">
        <v>5.4090177466688531E-2</v>
      </c>
      <c r="X11" s="1">
        <v>0</v>
      </c>
      <c r="Y11" s="1">
        <v>0.196449125</v>
      </c>
      <c r="AA11" s="1">
        <v>8.0509746750001956E-2</v>
      </c>
      <c r="AB11" s="1">
        <v>0.10127731471973779</v>
      </c>
      <c r="AC11" s="1">
        <v>0</v>
      </c>
      <c r="AD11" s="1">
        <v>0.32700757500000011</v>
      </c>
      <c r="AF11" s="1">
        <v>0.1010653550125431</v>
      </c>
      <c r="AG11" s="2">
        <v>4.3266503316534193E-2</v>
      </c>
      <c r="AH11" s="1">
        <v>1.6263008512136079E-2</v>
      </c>
      <c r="AI11" s="2">
        <v>0.18586770151295012</v>
      </c>
    </row>
    <row r="12" spans="1:35" ht="15.75" x14ac:dyDescent="0.25">
      <c r="A12" t="s">
        <v>16</v>
      </c>
      <c r="B12" s="1">
        <v>3.0058884150000392E-2</v>
      </c>
      <c r="C12" s="1">
        <v>2.5005450857706168E-2</v>
      </c>
      <c r="D12" s="1">
        <v>0</v>
      </c>
      <c r="E12" s="1">
        <v>9.1641175000000005E-2</v>
      </c>
      <c r="G12" s="1">
        <v>0.13514016509999893</v>
      </c>
      <c r="H12" s="1">
        <v>3.946068553365293E-2</v>
      </c>
      <c r="I12" s="1">
        <v>6.587889999999999E-2</v>
      </c>
      <c r="J12" s="1">
        <v>0.21982502500000001</v>
      </c>
      <c r="L12" s="1">
        <v>0.10168415438333388</v>
      </c>
      <c r="M12" s="1">
        <v>3.5403518575157181E-2</v>
      </c>
      <c r="N12" s="1">
        <v>4.2656899999999998E-2</v>
      </c>
      <c r="O12" s="1">
        <v>0.1812194</v>
      </c>
      <c r="Q12" s="1">
        <v>0.19066340736666743</v>
      </c>
      <c r="R12" s="1">
        <v>4.7765983116690579E-2</v>
      </c>
      <c r="S12" s="1">
        <v>0.104453875</v>
      </c>
      <c r="T12" s="1">
        <v>0.29128417499999998</v>
      </c>
      <c r="V12" s="1">
        <v>0.19081500732313228</v>
      </c>
      <c r="W12" s="1">
        <v>4.1492704239200748E-2</v>
      </c>
      <c r="X12" s="1">
        <v>0.11437074999999999</v>
      </c>
      <c r="Y12" s="1">
        <v>0.27632212499999997</v>
      </c>
      <c r="AA12" s="1">
        <v>5.6726355816667413E-2</v>
      </c>
      <c r="AB12" s="1">
        <v>2.5951182424708081E-2</v>
      </c>
      <c r="AC12" s="1">
        <v>1.3542924999999999E-2</v>
      </c>
      <c r="AD12" s="1">
        <v>0.11394230000000002</v>
      </c>
      <c r="AF12" s="2">
        <v>0.10512516591087152</v>
      </c>
      <c r="AG12" s="1">
        <v>1.490072708480176E-2</v>
      </c>
      <c r="AH12" s="2">
        <v>7.5919740824660076E-2</v>
      </c>
      <c r="AI12" s="3">
        <v>0.13433059099708297</v>
      </c>
    </row>
    <row r="13" spans="1:35" x14ac:dyDescent="0.25">
      <c r="A13" t="s">
        <v>17</v>
      </c>
      <c r="B13" s="1">
        <v>2.5851227233333617E-2</v>
      </c>
      <c r="C13" s="1">
        <v>2.121991460908465E-2</v>
      </c>
      <c r="D13" s="1">
        <v>0</v>
      </c>
      <c r="E13" s="1">
        <v>7.7060150000000008E-2</v>
      </c>
      <c r="G13" s="1">
        <v>0.13076685553333189</v>
      </c>
      <c r="H13" s="1">
        <v>3.7616232253827979E-2</v>
      </c>
      <c r="I13" s="1">
        <v>6.3760974999999998E-2</v>
      </c>
      <c r="J13" s="1">
        <v>0.21085719999999999</v>
      </c>
      <c r="L13" s="1">
        <v>9.5996386949999901E-2</v>
      </c>
      <c r="M13" s="1">
        <v>3.1642964009872224E-2</v>
      </c>
      <c r="N13" s="1">
        <v>4.0458925E-2</v>
      </c>
      <c r="O13" s="1">
        <v>0.16378822500000001</v>
      </c>
      <c r="Q13" s="1">
        <v>0.188453837133334</v>
      </c>
      <c r="R13" s="1">
        <v>4.72887024445506E-2</v>
      </c>
      <c r="S13" s="1">
        <v>0.1031919</v>
      </c>
      <c r="T13" s="1">
        <v>0.28810617499999996</v>
      </c>
      <c r="V13" s="1">
        <v>0.18896676811167734</v>
      </c>
      <c r="W13" s="1">
        <v>4.0998962589238123E-2</v>
      </c>
      <c r="X13" s="1">
        <v>0.11326375</v>
      </c>
      <c r="Y13" s="1">
        <v>0.27351150000000002</v>
      </c>
      <c r="AA13" s="1">
        <v>5.4059530216667172E-2</v>
      </c>
      <c r="AB13" s="1">
        <v>2.4422063204679701E-2</v>
      </c>
      <c r="AC13" s="1">
        <v>1.2618675000000001E-2</v>
      </c>
      <c r="AD13" s="1">
        <v>0.1074671</v>
      </c>
      <c r="AF13" s="1">
        <v>0.10133592425308682</v>
      </c>
      <c r="AG13" s="1">
        <v>1.3963473280852753E-2</v>
      </c>
      <c r="AH13" s="1">
        <v>7.3967516622615428E-2</v>
      </c>
      <c r="AI13" s="1">
        <v>0.12870433188355823</v>
      </c>
    </row>
    <row r="14" spans="1:35" x14ac:dyDescent="0.25">
      <c r="A14" t="s">
        <v>18</v>
      </c>
      <c r="B14" s="1">
        <v>4.2076569166664933E-3</v>
      </c>
      <c r="C14" s="1">
        <v>1.3228550441512275E-2</v>
      </c>
      <c r="D14" s="1">
        <v>0</v>
      </c>
      <c r="E14" s="1">
        <v>4.6635300000000018E-2</v>
      </c>
      <c r="G14" s="1">
        <v>4.3733095666665571E-3</v>
      </c>
      <c r="H14" s="1">
        <v>1.2357104817332184E-2</v>
      </c>
      <c r="I14" s="1">
        <v>0</v>
      </c>
      <c r="J14" s="1">
        <v>4.4059050000000002E-2</v>
      </c>
      <c r="L14" s="1">
        <v>5.6877674333330602E-3</v>
      </c>
      <c r="M14" s="1">
        <v>1.6673353230585698E-2</v>
      </c>
      <c r="N14" s="1">
        <v>0</v>
      </c>
      <c r="O14" s="1">
        <v>6.1313250000000014E-2</v>
      </c>
      <c r="Q14" s="1">
        <v>2.2095702333332682E-3</v>
      </c>
      <c r="R14" s="1">
        <v>8.150689471045797E-3</v>
      </c>
      <c r="S14" s="1">
        <v>0</v>
      </c>
      <c r="T14" s="1">
        <v>2.5853900000000055E-2</v>
      </c>
      <c r="V14" s="1">
        <v>1.8482392114554155E-3</v>
      </c>
      <c r="W14" s="1">
        <v>7.0710097546054732E-3</v>
      </c>
      <c r="X14" s="1">
        <v>0</v>
      </c>
      <c r="Y14" s="1">
        <v>2.1890125E-2</v>
      </c>
      <c r="AA14" s="1">
        <v>2.6668255999999103E-3</v>
      </c>
      <c r="AB14" s="1">
        <v>9.0351288712788112E-3</v>
      </c>
      <c r="AC14" s="1">
        <v>0</v>
      </c>
      <c r="AD14" s="1">
        <v>3.1598025000000002E-2</v>
      </c>
      <c r="AF14" s="1">
        <v>3.7892416577843214E-3</v>
      </c>
      <c r="AG14" s="1">
        <v>5.3990587533824363E-3</v>
      </c>
      <c r="AH14" s="1">
        <v>0</v>
      </c>
      <c r="AI14" s="1">
        <v>1.4371396814413896E-2</v>
      </c>
    </row>
    <row r="15" spans="1:35" x14ac:dyDescent="0.25">
      <c r="A15" t="s">
        <v>19</v>
      </c>
      <c r="B15" s="1">
        <v>0.36666274891666834</v>
      </c>
      <c r="C15" s="1">
        <v>0.1030236281015703</v>
      </c>
      <c r="D15" s="1">
        <v>0.171066525</v>
      </c>
      <c r="E15" s="1">
        <v>0.56863427499999997</v>
      </c>
      <c r="G15" s="1">
        <v>0.54401286170000285</v>
      </c>
      <c r="H15" s="1">
        <v>0.11900591613149612</v>
      </c>
      <c r="I15" s="1">
        <v>0.30873582500000002</v>
      </c>
      <c r="J15" s="1">
        <v>0.77516840000000009</v>
      </c>
      <c r="L15" s="1">
        <v>0.53613110098332462</v>
      </c>
      <c r="M15" s="1">
        <v>0.138548913496881</v>
      </c>
      <c r="N15" s="1">
        <v>0.26679932500000003</v>
      </c>
      <c r="O15" s="1">
        <v>0.81534645000000006</v>
      </c>
      <c r="Q15" s="1">
        <v>0.65386950863333904</v>
      </c>
      <c r="R15" s="1">
        <v>0.10865870834285134</v>
      </c>
      <c r="S15" s="1">
        <v>0.40404077500000002</v>
      </c>
      <c r="T15" s="1">
        <v>0.82669007500000002</v>
      </c>
      <c r="V15" s="1">
        <v>0.57652967904080477</v>
      </c>
      <c r="W15" s="1">
        <v>0.11304750349911148</v>
      </c>
      <c r="X15" s="1">
        <v>0.34115574999999998</v>
      </c>
      <c r="Y15" s="1">
        <v>0.77290000000000003</v>
      </c>
      <c r="AA15" s="1">
        <v>0.82940297463332791</v>
      </c>
      <c r="AB15" s="1">
        <v>0.11196888468845741</v>
      </c>
      <c r="AC15" s="1">
        <v>0.55931529999999996</v>
      </c>
      <c r="AD15" s="1">
        <v>0.96855117499999999</v>
      </c>
      <c r="AF15" s="1">
        <v>0.5883262845782824</v>
      </c>
      <c r="AG15" s="1">
        <v>5.1895239149553261E-2</v>
      </c>
      <c r="AH15" s="1">
        <v>0.486611615845158</v>
      </c>
      <c r="AI15" s="1">
        <v>0.6900409533114068</v>
      </c>
    </row>
    <row r="16" spans="1:35" x14ac:dyDescent="0.25">
      <c r="A16" t="s">
        <v>20</v>
      </c>
      <c r="B16" s="1">
        <v>0.7989229702166678</v>
      </c>
      <c r="C16" s="1">
        <v>6.8587620784576156E-2</v>
      </c>
      <c r="D16" s="1">
        <v>0.65119692500000004</v>
      </c>
      <c r="E16" s="1">
        <v>0.91943192500000004</v>
      </c>
      <c r="G16" s="1">
        <v>0.62951678600000749</v>
      </c>
      <c r="H16" s="1">
        <v>0.10881167909319542</v>
      </c>
      <c r="I16" s="1">
        <v>0.41670515000000002</v>
      </c>
      <c r="J16" s="1">
        <v>0.85447035000000005</v>
      </c>
      <c r="L16" s="1">
        <v>0.64249992173333059</v>
      </c>
      <c r="M16" s="1">
        <v>0.10482677976036646</v>
      </c>
      <c r="N16" s="1">
        <v>0.451405475</v>
      </c>
      <c r="O16" s="1">
        <v>0.87392337500000006</v>
      </c>
      <c r="Q16" s="1">
        <v>0.78770460893333627</v>
      </c>
      <c r="R16" s="1">
        <v>6.3261897993573984E-2</v>
      </c>
      <c r="S16" s="1">
        <v>0.64036067499999993</v>
      </c>
      <c r="T16" s="1">
        <v>0.88787817499999999</v>
      </c>
      <c r="V16" s="1">
        <v>0.67594441933111094</v>
      </c>
      <c r="W16" s="1">
        <v>7.3883558849110756E-2</v>
      </c>
      <c r="X16" s="1">
        <v>0.52579662500000002</v>
      </c>
      <c r="Y16" s="1">
        <v>0.81881400000000004</v>
      </c>
      <c r="AA16" s="1">
        <v>0.85835338228333613</v>
      </c>
      <c r="AB16" s="1">
        <v>0.10427967480243572</v>
      </c>
      <c r="AC16" s="1">
        <v>0.60780932499999996</v>
      </c>
      <c r="AD16" s="1">
        <v>0.97877099999999984</v>
      </c>
      <c r="AF16" s="1">
        <v>0.72383462392853504</v>
      </c>
      <c r="AG16" s="1">
        <v>4.3090553471387238E-2</v>
      </c>
      <c r="AH16" s="1">
        <v>0.63937713912461602</v>
      </c>
      <c r="AI16" s="1">
        <v>0.80829210873245405</v>
      </c>
    </row>
    <row r="17" spans="1:35" x14ac:dyDescent="0.25">
      <c r="A17" t="s">
        <v>21</v>
      </c>
      <c r="B17" s="1">
        <v>0.20107700986666804</v>
      </c>
      <c r="C17" s="1">
        <v>6.8587622406874327E-2</v>
      </c>
      <c r="D17" s="1">
        <v>8.0569075000000004E-2</v>
      </c>
      <c r="E17" s="1">
        <v>0.34880402500000002</v>
      </c>
      <c r="G17" s="1">
        <v>0.37048319183333234</v>
      </c>
      <c r="H17" s="1">
        <v>0.10881167948729774</v>
      </c>
      <c r="I17" s="1">
        <v>0.14552962500000002</v>
      </c>
      <c r="J17" s="1">
        <v>0.58329585000000006</v>
      </c>
      <c r="L17" s="1">
        <v>0.35750005501666854</v>
      </c>
      <c r="M17" s="1">
        <v>0.10482678137055165</v>
      </c>
      <c r="N17" s="1">
        <v>0.126076625</v>
      </c>
      <c r="O17" s="1">
        <v>0.54859354999999999</v>
      </c>
      <c r="Q17" s="1">
        <v>0.21229535970000307</v>
      </c>
      <c r="R17" s="1">
        <v>6.3261901254310221E-2</v>
      </c>
      <c r="S17" s="1">
        <v>0.11212182500000001</v>
      </c>
      <c r="T17" s="1">
        <v>0.35964032500000004</v>
      </c>
      <c r="V17" s="1">
        <v>0.32405555415522269</v>
      </c>
      <c r="W17" s="1">
        <v>7.3883557711299314E-2</v>
      </c>
      <c r="X17" s="1">
        <v>0.18118662499999999</v>
      </c>
      <c r="Y17" s="1">
        <v>0.47420399999999996</v>
      </c>
      <c r="AA17" s="1">
        <v>0.14164658368333308</v>
      </c>
      <c r="AB17" s="1">
        <v>0.10427968229717471</v>
      </c>
      <c r="AC17" s="1">
        <v>2.1228975000000001E-2</v>
      </c>
      <c r="AD17" s="1">
        <v>0.39218970000000003</v>
      </c>
      <c r="AF17" s="1">
        <v>0.27616535033294176</v>
      </c>
      <c r="AG17" s="1">
        <v>4.3090554614971022E-2</v>
      </c>
      <c r="AH17" s="1">
        <v>0.19170786328759856</v>
      </c>
      <c r="AI17" s="1">
        <v>0.36062283737828493</v>
      </c>
    </row>
    <row r="18" spans="1:35" x14ac:dyDescent="0.25">
      <c r="A18" t="s">
        <v>22</v>
      </c>
      <c r="B18" s="1">
        <v>0.54846821624999664</v>
      </c>
      <c r="C18" s="1">
        <v>8.1953433650380644E-2</v>
      </c>
      <c r="D18" s="1">
        <v>0.38334497499999998</v>
      </c>
      <c r="E18" s="1">
        <v>0.70397710000000002</v>
      </c>
      <c r="G18" s="1">
        <v>0.71072864976666617</v>
      </c>
      <c r="H18" s="1">
        <v>8.4347940430550633E-2</v>
      </c>
      <c r="I18" s="1">
        <v>0.52890020000000004</v>
      </c>
      <c r="J18" s="1">
        <v>0.85745870000000002</v>
      </c>
      <c r="L18" s="1">
        <v>0.58200880351666684</v>
      </c>
      <c r="M18" s="1">
        <v>9.0666212483084485E-2</v>
      </c>
      <c r="N18" s="1">
        <v>0.38578082500000005</v>
      </c>
      <c r="O18" s="1">
        <v>0.73983702499999993</v>
      </c>
      <c r="Q18" s="1">
        <v>0.54322008503333818</v>
      </c>
      <c r="R18" s="1">
        <v>9.7274589773299655E-2</v>
      </c>
      <c r="S18" s="1">
        <v>0.3467287</v>
      </c>
      <c r="T18" s="1">
        <v>0.72608222499999997</v>
      </c>
      <c r="V18" s="1">
        <v>0.4768539813325483</v>
      </c>
      <c r="W18" s="1">
        <v>8.579396249040791E-2</v>
      </c>
      <c r="X18" s="1">
        <v>0.30544862500000003</v>
      </c>
      <c r="Y18" s="1">
        <v>0.64097775000000001</v>
      </c>
      <c r="AA18" s="1">
        <v>0.39272755868333925</v>
      </c>
      <c r="AB18" s="1">
        <v>7.3526859938094963E-2</v>
      </c>
      <c r="AC18" s="1">
        <v>0.24832177500000002</v>
      </c>
      <c r="AD18" s="1">
        <v>0.53709617500000006</v>
      </c>
      <c r="AF18" s="1">
        <v>0.54969333392309438</v>
      </c>
      <c r="AG18" s="1">
        <v>3.6211919000808855E-2</v>
      </c>
      <c r="AH18" s="1">
        <v>0.47871797268150906</v>
      </c>
      <c r="AI18" s="1">
        <v>0.62066869516467971</v>
      </c>
    </row>
    <row r="19" spans="1:35" x14ac:dyDescent="0.25">
      <c r="A19" t="s">
        <v>23</v>
      </c>
      <c r="B19" s="1">
        <v>6.3010007283332878E-2</v>
      </c>
      <c r="C19" s="1">
        <v>6.3068016630707935E-2</v>
      </c>
      <c r="D19" s="1">
        <v>0</v>
      </c>
      <c r="E19" s="1">
        <v>0.23403312500000001</v>
      </c>
      <c r="G19" s="1">
        <v>0.23816625326666502</v>
      </c>
      <c r="H19" s="1">
        <v>0.12199719028592015</v>
      </c>
      <c r="I19" s="1">
        <v>7.8301575000000012E-2</v>
      </c>
      <c r="J19" s="1">
        <v>0.50586105000000003</v>
      </c>
      <c r="L19" s="1">
        <v>0.34704048369999968</v>
      </c>
      <c r="M19" s="1">
        <v>0.10817380087986966</v>
      </c>
      <c r="N19" s="1">
        <v>0.10558620000000001</v>
      </c>
      <c r="O19" s="1">
        <v>0.54143240000000004</v>
      </c>
      <c r="Q19" s="1">
        <v>0.20852154485000099</v>
      </c>
      <c r="R19" s="1">
        <v>6.1654554950350562E-2</v>
      </c>
      <c r="S19" s="1">
        <v>0.11011855</v>
      </c>
      <c r="T19" s="1">
        <v>0.35242400000000002</v>
      </c>
      <c r="V19" s="1">
        <v>0.21505931275336765</v>
      </c>
      <c r="W19" s="1">
        <v>6.8919270766728546E-2</v>
      </c>
      <c r="X19" s="1">
        <v>0.11849612499999999</v>
      </c>
      <c r="Y19" s="1">
        <v>0.40305650000000004</v>
      </c>
      <c r="AA19" s="1">
        <v>0.13723610256666852</v>
      </c>
      <c r="AB19" s="1">
        <v>0.10434013068130914</v>
      </c>
      <c r="AC19" s="1">
        <v>1.9809E-2</v>
      </c>
      <c r="AD19" s="1">
        <v>0.38788402500000002</v>
      </c>
      <c r="AF19" s="1">
        <v>0.2061905209234135</v>
      </c>
      <c r="AG19" s="1">
        <v>4.5015812963116832E-2</v>
      </c>
      <c r="AH19" s="1">
        <v>0.11795952751570452</v>
      </c>
      <c r="AI19" s="1">
        <v>0.29442151433112251</v>
      </c>
    </row>
    <row r="23" spans="1:35" x14ac:dyDescent="0.25">
      <c r="A23" t="s">
        <v>19</v>
      </c>
      <c r="B23" s="1">
        <v>0.36666274891666834</v>
      </c>
      <c r="C23" s="1">
        <v>0.1030236281015703</v>
      </c>
      <c r="D23" s="1">
        <v>0.171066525</v>
      </c>
      <c r="E23" s="1">
        <v>0.56863427499999997</v>
      </c>
      <c r="G23" s="1">
        <v>0.54401286170000285</v>
      </c>
      <c r="H23" s="1">
        <v>0.11900591613149612</v>
      </c>
      <c r="I23" s="1">
        <v>0.30873582500000002</v>
      </c>
      <c r="J23" s="1">
        <v>0.77516840000000009</v>
      </c>
      <c r="L23" s="1">
        <v>0.53613110098332462</v>
      </c>
      <c r="M23" s="1">
        <v>0.138548913496881</v>
      </c>
      <c r="N23" s="1">
        <v>0.26679932500000003</v>
      </c>
      <c r="O23" s="1">
        <v>0.81534645000000006</v>
      </c>
      <c r="Q23" s="1">
        <v>0.65386950863333904</v>
      </c>
      <c r="R23" s="1">
        <v>0.10865870834285134</v>
      </c>
      <c r="S23" s="1">
        <v>0.40404077500000002</v>
      </c>
      <c r="T23" s="1">
        <v>0.82669007500000002</v>
      </c>
      <c r="V23" s="1">
        <v>0.57652967904080477</v>
      </c>
      <c r="W23" s="1">
        <v>0.11304750349911148</v>
      </c>
      <c r="X23" s="1">
        <v>0.34115574999999998</v>
      </c>
      <c r="Y23" s="1">
        <v>0.77290000000000003</v>
      </c>
      <c r="AA23" s="1">
        <v>0.82940297463332791</v>
      </c>
      <c r="AB23" s="1">
        <v>0.11196888468845741</v>
      </c>
      <c r="AC23" s="1">
        <v>0.55931529999999996</v>
      </c>
      <c r="AD23" s="1">
        <v>0.96855117499999999</v>
      </c>
      <c r="AF23" s="1">
        <v>0.5883262845782824</v>
      </c>
      <c r="AG23" s="1">
        <v>5.1895239149553261E-2</v>
      </c>
      <c r="AH23" s="1">
        <v>0.486611615845158</v>
      </c>
      <c r="AI23" s="1">
        <v>0.6900409533114068</v>
      </c>
    </row>
    <row r="24" spans="1:35" x14ac:dyDescent="0.25">
      <c r="A24" t="s">
        <v>23</v>
      </c>
      <c r="B24" s="1">
        <v>6.3010007283332878E-2</v>
      </c>
      <c r="C24" s="1">
        <v>6.3068016630707935E-2</v>
      </c>
      <c r="D24" s="1">
        <v>0</v>
      </c>
      <c r="E24" s="1">
        <v>0.23403312500000001</v>
      </c>
      <c r="G24" s="1">
        <v>0.23816625326666502</v>
      </c>
      <c r="H24" s="1">
        <v>0.12199719028592015</v>
      </c>
      <c r="I24" s="1">
        <v>7.8301575000000012E-2</v>
      </c>
      <c r="J24" s="1">
        <v>0.50586105000000003</v>
      </c>
      <c r="L24" s="1">
        <v>0.34704048369999968</v>
      </c>
      <c r="M24" s="1">
        <v>0.10817380087986966</v>
      </c>
      <c r="N24" s="1">
        <v>0.10558620000000001</v>
      </c>
      <c r="O24" s="1">
        <v>0.54143240000000004</v>
      </c>
      <c r="Q24" s="1">
        <v>0.20852154485000099</v>
      </c>
      <c r="R24" s="1">
        <v>6.1654554950350562E-2</v>
      </c>
      <c r="S24" s="1">
        <v>0.11011855</v>
      </c>
      <c r="T24" s="1">
        <v>0.35242400000000002</v>
      </c>
      <c r="V24" s="1">
        <v>0.21505931275336765</v>
      </c>
      <c r="W24" s="1">
        <v>6.8919270766728546E-2</v>
      </c>
      <c r="X24" s="1">
        <v>0.11849612499999999</v>
      </c>
      <c r="Y24" s="1">
        <v>0.40305650000000004</v>
      </c>
      <c r="AA24" s="1">
        <v>0.13723610256666852</v>
      </c>
      <c r="AB24" s="1">
        <v>0.10434013068130914</v>
      </c>
      <c r="AC24" s="1">
        <v>1.9809E-2</v>
      </c>
      <c r="AD24" s="1">
        <v>0.38788402500000002</v>
      </c>
      <c r="AF24" s="1">
        <v>0.2061905209234135</v>
      </c>
      <c r="AG24" s="1">
        <v>4.5015812963116832E-2</v>
      </c>
      <c r="AH24" s="1">
        <v>0.11795952751570452</v>
      </c>
      <c r="AI24" s="1">
        <v>0.29442151433112251</v>
      </c>
    </row>
    <row r="25" spans="1:35" x14ac:dyDescent="0.25">
      <c r="A25" t="s">
        <v>22</v>
      </c>
      <c r="B25" s="1">
        <v>0.54846821624999664</v>
      </c>
      <c r="C25" s="1">
        <v>8.1953433650380644E-2</v>
      </c>
      <c r="D25" s="1">
        <v>0.38334497499999998</v>
      </c>
      <c r="E25" s="1">
        <v>0.70397710000000002</v>
      </c>
      <c r="G25" s="1">
        <v>0.71072864976666617</v>
      </c>
      <c r="H25" s="1">
        <v>8.4347940430550633E-2</v>
      </c>
      <c r="I25" s="1">
        <v>0.52890020000000004</v>
      </c>
      <c r="J25" s="1">
        <v>0.85745870000000002</v>
      </c>
      <c r="L25" s="1">
        <v>0.58200880351666684</v>
      </c>
      <c r="M25" s="1">
        <v>9.0666212483084485E-2</v>
      </c>
      <c r="N25" s="1">
        <v>0.38578082500000005</v>
      </c>
      <c r="O25" s="1">
        <v>0.73983702499999993</v>
      </c>
      <c r="Q25" s="1">
        <v>0.54322008503333818</v>
      </c>
      <c r="R25" s="1">
        <v>9.7274589773299655E-2</v>
      </c>
      <c r="S25" s="1">
        <v>0.3467287</v>
      </c>
      <c r="T25" s="1">
        <v>0.72608222499999997</v>
      </c>
      <c r="V25" s="1">
        <v>0.4768539813325483</v>
      </c>
      <c r="W25" s="1">
        <v>8.579396249040791E-2</v>
      </c>
      <c r="X25" s="1">
        <v>0.30544862500000003</v>
      </c>
      <c r="Y25" s="1">
        <v>0.64097775000000001</v>
      </c>
      <c r="AA25" s="1">
        <v>0.39272755868333925</v>
      </c>
      <c r="AB25" s="1">
        <v>7.3526859938094963E-2</v>
      </c>
      <c r="AC25" s="1">
        <v>0.24832177500000002</v>
      </c>
      <c r="AD25" s="1">
        <v>0.53709617500000006</v>
      </c>
      <c r="AF25" s="1">
        <v>0.54969333392309438</v>
      </c>
      <c r="AG25" s="1">
        <v>3.6211919000808855E-2</v>
      </c>
      <c r="AH25" s="1">
        <v>0.47871797268150906</v>
      </c>
      <c r="AI25" s="1">
        <v>0.62066869516467971</v>
      </c>
    </row>
    <row r="26" spans="1:35" x14ac:dyDescent="0.25">
      <c r="A26" t="s">
        <v>20</v>
      </c>
      <c r="B26" s="1">
        <v>0.7989229702166678</v>
      </c>
      <c r="C26" s="1">
        <v>6.8587620784576156E-2</v>
      </c>
      <c r="D26" s="1">
        <v>0.65119692500000004</v>
      </c>
      <c r="E26" s="1">
        <v>0.91943192500000004</v>
      </c>
      <c r="G26" s="1">
        <v>0.62951678600000749</v>
      </c>
      <c r="H26" s="1">
        <v>0.10881167909319542</v>
      </c>
      <c r="I26" s="1">
        <v>0.41670515000000002</v>
      </c>
      <c r="J26" s="1">
        <v>0.85447035000000005</v>
      </c>
      <c r="L26" s="1">
        <v>0.64249992173333059</v>
      </c>
      <c r="M26" s="1">
        <v>0.10482677976036646</v>
      </c>
      <c r="N26" s="1">
        <v>0.451405475</v>
      </c>
      <c r="O26" s="1">
        <v>0.87392337500000006</v>
      </c>
      <c r="Q26" s="1">
        <v>0.78770460893333627</v>
      </c>
      <c r="R26" s="1">
        <v>6.3261897993573984E-2</v>
      </c>
      <c r="S26" s="1">
        <v>0.64036067499999993</v>
      </c>
      <c r="T26" s="1">
        <v>0.88787817499999999</v>
      </c>
      <c r="V26" s="1">
        <v>0.67594441933111094</v>
      </c>
      <c r="W26" s="1">
        <v>7.3883558849110756E-2</v>
      </c>
      <c r="X26" s="1">
        <v>0.52579662500000002</v>
      </c>
      <c r="Y26" s="1">
        <v>0.81881400000000004</v>
      </c>
      <c r="AA26" s="1">
        <v>0.85835338228333613</v>
      </c>
      <c r="AB26" s="1">
        <v>0.10427967480243572</v>
      </c>
      <c r="AC26" s="1">
        <v>0.60780932499999996</v>
      </c>
      <c r="AD26" s="1">
        <v>0.97877099999999984</v>
      </c>
      <c r="AF26" s="1">
        <v>0.72383462392853504</v>
      </c>
      <c r="AG26" s="1">
        <v>4.3090553471387238E-2</v>
      </c>
      <c r="AH26" s="1">
        <v>0.63937713912461602</v>
      </c>
      <c r="AI26" s="1">
        <v>0.80829210873245405</v>
      </c>
    </row>
    <row r="27" spans="1:35" x14ac:dyDescent="0.25">
      <c r="A27" t="s">
        <v>21</v>
      </c>
      <c r="B27" s="1">
        <v>0.20107700986666804</v>
      </c>
      <c r="C27" s="1">
        <v>6.8587622406874327E-2</v>
      </c>
      <c r="D27" s="1">
        <v>8.0569075000000004E-2</v>
      </c>
      <c r="E27" s="1">
        <v>0.34880402500000002</v>
      </c>
      <c r="G27" s="1">
        <v>0.37048319183333234</v>
      </c>
      <c r="H27" s="1">
        <v>0.10881167948729774</v>
      </c>
      <c r="I27" s="1">
        <v>0.14552962500000002</v>
      </c>
      <c r="J27" s="1">
        <v>0.58329585000000006</v>
      </c>
      <c r="L27" s="1">
        <v>0.35750005501666854</v>
      </c>
      <c r="M27" s="1">
        <v>0.10482678137055165</v>
      </c>
      <c r="N27" s="1">
        <v>0.126076625</v>
      </c>
      <c r="O27" s="1">
        <v>0.54859354999999999</v>
      </c>
      <c r="Q27" s="1">
        <v>0.21229535970000307</v>
      </c>
      <c r="R27" s="1">
        <v>6.3261901254310221E-2</v>
      </c>
      <c r="S27" s="1">
        <v>0.11212182500000001</v>
      </c>
      <c r="T27" s="1">
        <v>0.35964032500000004</v>
      </c>
      <c r="V27" s="1">
        <v>0.32405555415522269</v>
      </c>
      <c r="W27" s="1">
        <v>7.3883557711299314E-2</v>
      </c>
      <c r="X27" s="1">
        <v>0.18118662499999999</v>
      </c>
      <c r="Y27" s="1">
        <v>0.47420399999999996</v>
      </c>
      <c r="AA27" s="1">
        <v>0.14164658368333308</v>
      </c>
      <c r="AB27" s="1">
        <v>0.10427968229717471</v>
      </c>
      <c r="AC27" s="1">
        <v>2.1228975000000001E-2</v>
      </c>
      <c r="AD27" s="1">
        <v>0.39218970000000003</v>
      </c>
      <c r="AF27" s="1">
        <v>0.27616535033294176</v>
      </c>
      <c r="AG27" s="1">
        <v>4.3090554614971022E-2</v>
      </c>
      <c r="AH27" s="1">
        <v>0.19170786328759856</v>
      </c>
      <c r="AI27" s="1">
        <v>0.36062283737828493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F4CBB-499B-48EE-A5B9-03AF5CD5837D}">
  <dimension ref="A1:AS26"/>
  <sheetViews>
    <sheetView workbookViewId="0">
      <pane xSplit="1" ySplit="2" topLeftCell="F3" activePane="bottomRight" state="frozen"/>
      <selection pane="topRight" activeCell="B1" sqref="B1"/>
      <selection pane="bottomLeft" activeCell="A3" sqref="A3"/>
      <selection pane="bottomRight" activeCell="AA22" sqref="AA22:AA26"/>
    </sheetView>
  </sheetViews>
  <sheetFormatPr defaultRowHeight="15" x14ac:dyDescent="0.25"/>
  <cols>
    <col min="1" max="1" width="17.85546875" customWidth="1"/>
    <col min="2" max="2" width="11.7109375" bestFit="1" customWidth="1"/>
    <col min="3" max="5" width="10.140625" bestFit="1" customWidth="1"/>
    <col min="7" max="7" width="9.7109375" bestFit="1" customWidth="1"/>
  </cols>
  <sheetData>
    <row r="1" spans="1:45" x14ac:dyDescent="0.25">
      <c r="B1" t="s">
        <v>31</v>
      </c>
      <c r="C1" t="s">
        <v>49</v>
      </c>
      <c r="G1" t="s">
        <v>32</v>
      </c>
      <c r="H1" t="s">
        <v>50</v>
      </c>
      <c r="L1" t="s">
        <v>1</v>
      </c>
      <c r="M1" t="s">
        <v>51</v>
      </c>
      <c r="Q1" t="s">
        <v>2</v>
      </c>
      <c r="R1" t="s">
        <v>52</v>
      </c>
      <c r="V1" t="s">
        <v>3</v>
      </c>
      <c r="W1" t="s">
        <v>53</v>
      </c>
      <c r="AA1" t="s">
        <v>4</v>
      </c>
      <c r="AB1" t="s">
        <v>54</v>
      </c>
      <c r="AF1" t="s">
        <v>46</v>
      </c>
      <c r="AK1" t="s">
        <v>47</v>
      </c>
      <c r="AP1" t="s">
        <v>48</v>
      </c>
    </row>
    <row r="2" spans="1:45" x14ac:dyDescent="0.25">
      <c r="B2" t="s">
        <v>6</v>
      </c>
      <c r="C2" t="s">
        <v>7</v>
      </c>
      <c r="D2" t="s">
        <v>8</v>
      </c>
      <c r="G2" t="s">
        <v>33</v>
      </c>
      <c r="H2" t="s">
        <v>34</v>
      </c>
      <c r="I2" t="s">
        <v>35</v>
      </c>
      <c r="L2" t="s">
        <v>45</v>
      </c>
      <c r="M2" t="s">
        <v>34</v>
      </c>
      <c r="N2" t="s">
        <v>35</v>
      </c>
      <c r="Q2" t="s">
        <v>45</v>
      </c>
      <c r="R2" t="s">
        <v>34</v>
      </c>
      <c r="S2" t="s">
        <v>35</v>
      </c>
      <c r="V2" t="s">
        <v>45</v>
      </c>
      <c r="W2" t="s">
        <v>34</v>
      </c>
      <c r="X2" t="s">
        <v>35</v>
      </c>
      <c r="AA2" t="s">
        <v>45</v>
      </c>
      <c r="AB2" t="s">
        <v>34</v>
      </c>
      <c r="AC2" t="s">
        <v>35</v>
      </c>
      <c r="AF2" t="s">
        <v>45</v>
      </c>
      <c r="AG2" t="s">
        <v>34</v>
      </c>
      <c r="AH2" t="s">
        <v>35</v>
      </c>
      <c r="AK2" t="s">
        <v>45</v>
      </c>
      <c r="AL2" t="s">
        <v>34</v>
      </c>
      <c r="AM2" t="s">
        <v>35</v>
      </c>
      <c r="AP2" t="s">
        <v>45</v>
      </c>
      <c r="AQ2" t="s">
        <v>34</v>
      </c>
      <c r="AR2" t="s">
        <v>35</v>
      </c>
    </row>
    <row r="3" spans="1:45" x14ac:dyDescent="0.25">
      <c r="A3" t="s">
        <v>9</v>
      </c>
      <c r="B3" s="1">
        <v>0.98622151143488745</v>
      </c>
      <c r="C3" s="1">
        <v>1.3914235879176309E-2</v>
      </c>
      <c r="D3" s="1">
        <v>0.95070437500000005</v>
      </c>
      <c r="E3" s="1">
        <v>0.99996300000000005</v>
      </c>
      <c r="G3" s="1">
        <v>0.60862000000000005</v>
      </c>
      <c r="H3" s="1">
        <v>4.7279999999999996E-2</v>
      </c>
      <c r="I3" s="1">
        <v>0.51700000000000002</v>
      </c>
      <c r="J3" s="1">
        <v>0.70200000000000007</v>
      </c>
      <c r="L3" s="1">
        <v>0.40351999999999999</v>
      </c>
      <c r="M3" s="1">
        <v>5.6440000000000004E-2</v>
      </c>
      <c r="N3" s="1">
        <v>0.29597999999999997</v>
      </c>
      <c r="O3" s="1">
        <v>0.51702000000000004</v>
      </c>
      <c r="Q3" s="1">
        <v>0.25788</v>
      </c>
      <c r="R3" s="1">
        <v>4.1890000000000004E-2</v>
      </c>
      <c r="S3" s="1">
        <v>0.17800000000000002</v>
      </c>
      <c r="T3" s="1">
        <v>0.34299999999999997</v>
      </c>
      <c r="V3" s="1">
        <v>2.63E-2</v>
      </c>
      <c r="W3" s="1">
        <v>3.0929999999999999E-2</v>
      </c>
      <c r="X3" s="1">
        <v>0</v>
      </c>
      <c r="Y3" s="1">
        <v>0.10800000000000001</v>
      </c>
      <c r="AA3" s="1">
        <v>4.9720000000000007E-2</v>
      </c>
      <c r="AB3" s="1">
        <v>3.7670000000000002E-2</v>
      </c>
      <c r="AC3" s="1">
        <v>5.0000000000000001E-3</v>
      </c>
      <c r="AD3" s="1">
        <v>0.14699999999999999</v>
      </c>
      <c r="AF3" s="1">
        <v>0.40159004675235332</v>
      </c>
      <c r="AG3" s="1">
        <v>1.4672357906033806E-2</v>
      </c>
      <c r="AH3" s="1">
        <v>0.37283222525652704</v>
      </c>
      <c r="AI3" s="1">
        <v>0.43034786824817961</v>
      </c>
      <c r="AK3" s="1">
        <v>0.82855135695793458</v>
      </c>
      <c r="AL3" s="1">
        <v>2.134078655202936E-2</v>
      </c>
      <c r="AM3" s="1">
        <v>0.78672341531595702</v>
      </c>
      <c r="AN3" s="1">
        <v>0.87037929859991214</v>
      </c>
      <c r="AP3" s="1">
        <v>0.1120767886895835</v>
      </c>
      <c r="AQ3" s="1">
        <v>1.9920085049561304E-2</v>
      </c>
      <c r="AR3" s="1">
        <v>7.3033421992443337E-2</v>
      </c>
      <c r="AS3" s="1">
        <v>0.15112015538672366</v>
      </c>
    </row>
    <row r="4" spans="1:45" x14ac:dyDescent="0.25">
      <c r="A4" t="s">
        <v>10</v>
      </c>
      <c r="B4" s="1">
        <v>0.89170862630626635</v>
      </c>
      <c r="C4" s="1">
        <v>3.9477994415243557E-2</v>
      </c>
      <c r="D4" s="1">
        <v>0.81685140000000001</v>
      </c>
      <c r="E4" s="1">
        <v>0.98332522499999997</v>
      </c>
      <c r="G4" s="1">
        <v>0.50814999999999999</v>
      </c>
      <c r="H4" s="1">
        <v>5.1380000000000002E-2</v>
      </c>
      <c r="I4" s="1">
        <v>0.40799999999999997</v>
      </c>
      <c r="J4" s="1">
        <v>0.61099999999999999</v>
      </c>
      <c r="L4" s="1">
        <v>0.32529000000000002</v>
      </c>
      <c r="M4" s="1">
        <v>5.1900000000000002E-2</v>
      </c>
      <c r="N4" s="1">
        <v>0.23</v>
      </c>
      <c r="O4" s="1">
        <v>0.434</v>
      </c>
      <c r="Q4" s="1">
        <v>0.20361000000000001</v>
      </c>
      <c r="R4" s="1">
        <v>3.771E-2</v>
      </c>
      <c r="S4" s="1">
        <v>0.13600000000000001</v>
      </c>
      <c r="T4" s="1">
        <v>0.28499999999999998</v>
      </c>
      <c r="V4" s="1">
        <v>1.5939999999999999E-2</v>
      </c>
      <c r="W4" s="1">
        <v>2.6160000000000003E-2</v>
      </c>
      <c r="X4" s="1">
        <v>0</v>
      </c>
      <c r="Y4" s="1">
        <v>9.4E-2</v>
      </c>
      <c r="AA4" s="1">
        <v>4.861E-2</v>
      </c>
      <c r="AB4" s="1">
        <v>3.7610000000000005E-2</v>
      </c>
      <c r="AC4" s="1">
        <v>4.0000000000000001E-3</v>
      </c>
      <c r="AD4" s="1">
        <v>0.14599999999999999</v>
      </c>
      <c r="AF4" s="1">
        <v>0.34900329443647765</v>
      </c>
      <c r="AG4" s="1">
        <v>1.6614712637509389E-2</v>
      </c>
      <c r="AH4" s="1">
        <v>0.31643845766695927</v>
      </c>
      <c r="AI4" s="1">
        <v>0.38156813120599603</v>
      </c>
      <c r="AK4" s="1">
        <v>0.73155103681233458</v>
      </c>
      <c r="AL4" s="1">
        <v>3.1448161795243547E-2</v>
      </c>
      <c r="AM4" s="1">
        <v>0.66991263969365722</v>
      </c>
      <c r="AN4" s="1">
        <v>0.79318943393101193</v>
      </c>
      <c r="AP4" s="1">
        <v>8.9605919047910737E-2</v>
      </c>
      <c r="AQ4" s="1">
        <v>1.7961399361165312E-2</v>
      </c>
      <c r="AR4" s="1">
        <v>5.4401576300026726E-2</v>
      </c>
      <c r="AS4" s="1">
        <v>0.12481026179579474</v>
      </c>
    </row>
    <row r="5" spans="1:45" x14ac:dyDescent="0.25">
      <c r="A5" t="s">
        <v>36</v>
      </c>
      <c r="B5" s="1">
        <v>9.4512885128618149E-2</v>
      </c>
      <c r="C5" s="1">
        <v>3.8041830118767099E-2</v>
      </c>
      <c r="D5" s="1">
        <v>6.0999999999999999E-5</v>
      </c>
      <c r="E5" s="1">
        <v>0.16641507500000002</v>
      </c>
      <c r="G5" s="1">
        <v>0.10051</v>
      </c>
      <c r="H5" s="1">
        <v>3.798E-2</v>
      </c>
      <c r="I5" s="1">
        <v>3.3000000000000002E-2</v>
      </c>
      <c r="J5" s="1">
        <v>0.18</v>
      </c>
      <c r="L5" s="1">
        <v>7.8270000000000006E-2</v>
      </c>
      <c r="M5" s="1">
        <v>4.3680000000000004E-2</v>
      </c>
      <c r="N5" s="1">
        <v>0</v>
      </c>
      <c r="O5" s="1">
        <v>0.16602</v>
      </c>
      <c r="Q5" s="1">
        <v>5.4269999999999999E-2</v>
      </c>
      <c r="R5" s="1">
        <v>3.0849999999999999E-2</v>
      </c>
      <c r="S5" s="1">
        <v>0</v>
      </c>
      <c r="T5" s="1">
        <v>0.11900000000000001</v>
      </c>
      <c r="V5" s="1">
        <v>1.044E-2</v>
      </c>
      <c r="W5" s="1">
        <v>1.968E-2</v>
      </c>
      <c r="X5" s="1">
        <v>0</v>
      </c>
      <c r="Y5" s="1">
        <v>6.8019999999999997E-2</v>
      </c>
      <c r="AA5" s="1">
        <v>1.24E-3</v>
      </c>
      <c r="AB5" s="1">
        <v>4.4900000000000001E-3</v>
      </c>
      <c r="AC5" s="1">
        <v>0</v>
      </c>
      <c r="AD5" s="1">
        <v>1.2E-2</v>
      </c>
      <c r="AF5" s="1">
        <v>5.2639746232653446E-2</v>
      </c>
      <c r="AG5" s="1">
        <v>1.3007139367940294E-2</v>
      </c>
      <c r="AH5" s="1">
        <v>2.7145753071490471E-2</v>
      </c>
      <c r="AI5" s="1">
        <v>7.8133739393816418E-2</v>
      </c>
      <c r="AK5" s="1">
        <v>9.7017022425615856E-2</v>
      </c>
      <c r="AL5" s="1">
        <v>2.7247814897521982E-2</v>
      </c>
      <c r="AM5" s="1">
        <v>4.3611305226472774E-2</v>
      </c>
      <c r="AN5" s="1">
        <v>0.15042273962475894</v>
      </c>
      <c r="AP5" s="1">
        <v>2.2548472134797284E-2</v>
      </c>
      <c r="AQ5" s="1">
        <v>1.1621084388586007E-2</v>
      </c>
      <c r="AR5" s="1">
        <v>0</v>
      </c>
      <c r="AS5" s="1">
        <v>4.5325797536425863E-2</v>
      </c>
    </row>
    <row r="6" spans="1:45" x14ac:dyDescent="0.25">
      <c r="A6" t="s">
        <v>11</v>
      </c>
      <c r="B6" s="1">
        <v>1.3778436354501574E-2</v>
      </c>
      <c r="C6" s="1">
        <v>1.3914247485285797E-2</v>
      </c>
      <c r="D6" s="1">
        <v>3.6999999999999998E-5</v>
      </c>
      <c r="E6" s="1">
        <v>4.9296625000000038E-2</v>
      </c>
      <c r="G6" s="1">
        <v>0.39138000000000001</v>
      </c>
      <c r="H6" s="1">
        <v>4.7279999999999996E-2</v>
      </c>
      <c r="I6" s="1">
        <v>0.29898000000000002</v>
      </c>
      <c r="J6" s="1">
        <v>0.48299999999999998</v>
      </c>
      <c r="L6" s="1">
        <v>0.59648000000000001</v>
      </c>
      <c r="M6" s="1">
        <v>5.6449999999999993E-2</v>
      </c>
      <c r="N6" s="1">
        <v>0.48200000000000004</v>
      </c>
      <c r="O6" s="1">
        <v>0.70400000000000007</v>
      </c>
      <c r="Q6" s="1">
        <v>0.74212</v>
      </c>
      <c r="R6" s="1">
        <v>4.1890000000000004E-2</v>
      </c>
      <c r="S6" s="1">
        <v>0.65700000000000003</v>
      </c>
      <c r="T6" s="1">
        <v>0.82099999999999995</v>
      </c>
      <c r="V6" s="1">
        <v>0.97370000000000001</v>
      </c>
      <c r="W6" s="1">
        <v>3.0929999999999999E-2</v>
      </c>
      <c r="X6" s="1">
        <v>0.89200000000000002</v>
      </c>
      <c r="Y6" s="1">
        <v>1</v>
      </c>
      <c r="AA6" s="1">
        <v>0.95028000000000001</v>
      </c>
      <c r="AB6" s="1">
        <v>3.7679999999999998E-2</v>
      </c>
      <c r="AC6" s="1">
        <v>0.85299999999999998</v>
      </c>
      <c r="AD6" s="1">
        <v>0.995</v>
      </c>
      <c r="AF6" s="1">
        <v>0.59840994095968414</v>
      </c>
      <c r="AG6" s="1">
        <v>1.4673244193070764E-2</v>
      </c>
      <c r="AH6" s="1">
        <v>0.56965038234126542</v>
      </c>
      <c r="AI6" s="1">
        <v>0.62716949957810286</v>
      </c>
      <c r="AK6" s="1">
        <v>0.17144861263236064</v>
      </c>
      <c r="AL6" s="1">
        <v>2.1340789119128359E-2</v>
      </c>
      <c r="AM6" s="1">
        <v>0.12962066595886906</v>
      </c>
      <c r="AN6" s="1">
        <v>0.21327655930585221</v>
      </c>
      <c r="AP6" s="1">
        <v>0.8879232113104164</v>
      </c>
      <c r="AQ6" s="1">
        <v>1.9921922018827427E-2</v>
      </c>
      <c r="AR6" s="1">
        <v>0.8488762441535147</v>
      </c>
      <c r="AS6" s="1">
        <v>0.92697017846731811</v>
      </c>
    </row>
    <row r="7" spans="1:45" x14ac:dyDescent="0.25">
      <c r="A7" t="s">
        <v>37</v>
      </c>
      <c r="B7" s="1">
        <v>2.5372450361735568E-3</v>
      </c>
      <c r="C7" s="1">
        <v>6.2395050495497482E-3</v>
      </c>
      <c r="D7" s="1">
        <v>0</v>
      </c>
      <c r="E7" s="1">
        <v>2.1632425000000025E-2</v>
      </c>
      <c r="G7" s="1">
        <v>5.0099999999999997E-3</v>
      </c>
      <c r="H7" s="1">
        <v>1.052E-2</v>
      </c>
      <c r="I7" s="1">
        <v>0</v>
      </c>
      <c r="J7" s="1">
        <v>3.7000000000000005E-2</v>
      </c>
      <c r="L7" s="1">
        <v>7.2599999999999998E-2</v>
      </c>
      <c r="M7" s="1">
        <v>3.8849999999999996E-2</v>
      </c>
      <c r="N7" s="1">
        <v>0</v>
      </c>
      <c r="O7" s="1">
        <v>0.158</v>
      </c>
      <c r="Q7" s="1">
        <v>6.0490000000000002E-2</v>
      </c>
      <c r="R7" s="1">
        <v>4.2350000000000006E-2</v>
      </c>
      <c r="S7" s="1">
        <v>0</v>
      </c>
      <c r="T7" s="1">
        <v>0.153</v>
      </c>
      <c r="V7" s="1">
        <v>0.14957000000000001</v>
      </c>
      <c r="W7" s="1">
        <v>4.8419999999999998E-2</v>
      </c>
      <c r="X7" s="1">
        <v>6.2E-2</v>
      </c>
      <c r="Y7" s="1">
        <v>0.25001999999999996</v>
      </c>
      <c r="AA7" s="1">
        <v>0.44115000000000004</v>
      </c>
      <c r="AB7" s="1">
        <v>5.7380000000000007E-2</v>
      </c>
      <c r="AC7" s="1">
        <v>0.32899999999999996</v>
      </c>
      <c r="AD7" s="1">
        <v>0.55399999999999994</v>
      </c>
      <c r="AF7" s="1">
        <v>0.12432555365650021</v>
      </c>
      <c r="AG7" s="1">
        <v>1.7117474025006147E-2</v>
      </c>
      <c r="AH7" s="1">
        <v>9.0775304567488169E-2</v>
      </c>
      <c r="AI7" s="1">
        <v>0.15787580274551224</v>
      </c>
      <c r="AK7" s="1">
        <v>3.5697611816959173E-3</v>
      </c>
      <c r="AL7" s="1">
        <v>5.701131490153521E-3</v>
      </c>
      <c r="AM7" s="1">
        <v>0</v>
      </c>
      <c r="AN7" s="1">
        <v>1.4743978902396818E-2</v>
      </c>
      <c r="AP7" s="1">
        <v>0.2062074527271652</v>
      </c>
      <c r="AQ7" s="1">
        <v>2.8463139590312055E-2</v>
      </c>
      <c r="AR7" s="1">
        <v>0.15041969913015357</v>
      </c>
      <c r="AS7" s="1">
        <v>0.26199520632417683</v>
      </c>
    </row>
    <row r="8" spans="1:45" x14ac:dyDescent="0.25">
      <c r="A8" t="s">
        <v>12</v>
      </c>
      <c r="B8" s="1">
        <v>2.0049196945336922E-3</v>
      </c>
      <c r="C8" s="1">
        <v>5.1182672480639393E-3</v>
      </c>
      <c r="D8" s="1">
        <v>0</v>
      </c>
      <c r="E8" s="1">
        <v>1.7096050000000002E-2</v>
      </c>
      <c r="G8" s="1">
        <v>0.24465000000000001</v>
      </c>
      <c r="H8" s="1">
        <v>5.3710000000000008E-2</v>
      </c>
      <c r="I8" s="1">
        <v>0.14400000000000002</v>
      </c>
      <c r="J8" s="1">
        <v>0.35600000000000004</v>
      </c>
      <c r="L8" s="1">
        <v>0.32540999999999998</v>
      </c>
      <c r="M8" s="1">
        <v>7.397999999999999E-2</v>
      </c>
      <c r="N8" s="1">
        <v>0.18398</v>
      </c>
      <c r="O8" s="1">
        <v>0.47299999999999998</v>
      </c>
      <c r="Q8" s="1">
        <v>0.46195000000000003</v>
      </c>
      <c r="R8" s="1">
        <v>6.6570000000000004E-2</v>
      </c>
      <c r="S8" s="1">
        <v>0.33</v>
      </c>
      <c r="T8" s="1">
        <v>0.59200000000000008</v>
      </c>
      <c r="V8" s="1">
        <v>0.49825999999999998</v>
      </c>
      <c r="W8" s="1">
        <v>6.7040000000000002E-2</v>
      </c>
      <c r="X8" s="1">
        <v>0.36599999999999999</v>
      </c>
      <c r="Y8" s="1">
        <v>0.627</v>
      </c>
      <c r="AA8" s="1">
        <v>0.33423999999999998</v>
      </c>
      <c r="AB8" s="1">
        <v>6.4560000000000006E-2</v>
      </c>
      <c r="AC8" s="1">
        <v>0.21299999999999999</v>
      </c>
      <c r="AD8" s="1">
        <v>0.46601999999999999</v>
      </c>
      <c r="AF8" s="1">
        <v>0.29624234965253249</v>
      </c>
      <c r="AG8" s="1">
        <v>2.4524108522762551E-2</v>
      </c>
      <c r="AH8" s="1">
        <v>0.24817509694791789</v>
      </c>
      <c r="AI8" s="1">
        <v>0.34430960235714708</v>
      </c>
      <c r="AK8" s="1">
        <v>0.10332307159878688</v>
      </c>
      <c r="AL8" s="1">
        <v>2.2624249689456415E-2</v>
      </c>
      <c r="AM8" s="1">
        <v>5.8979542207452315E-2</v>
      </c>
      <c r="AN8" s="1">
        <v>0.14766660099012147</v>
      </c>
      <c r="AP8" s="1">
        <v>0.42705675226330841</v>
      </c>
      <c r="AQ8" s="1">
        <v>3.8187088507940219E-2</v>
      </c>
      <c r="AR8" s="1">
        <v>0.35221005878774558</v>
      </c>
      <c r="AS8" s="1">
        <v>0.50190344573887125</v>
      </c>
    </row>
    <row r="9" spans="1:45" x14ac:dyDescent="0.25">
      <c r="A9" t="s">
        <v>13</v>
      </c>
      <c r="B9" s="1">
        <v>3.9109948151124169E-3</v>
      </c>
      <c r="C9" s="1">
        <v>7.2216646272671593E-3</v>
      </c>
      <c r="D9" s="1">
        <v>0</v>
      </c>
      <c r="E9" s="1">
        <v>2.5568175000000009E-2</v>
      </c>
      <c r="G9" s="1">
        <v>9.5500000000000002E-2</v>
      </c>
      <c r="H9" s="1">
        <v>3.7659999999999999E-2</v>
      </c>
      <c r="I9" s="1">
        <v>2.6000000000000002E-2</v>
      </c>
      <c r="J9" s="1">
        <v>0.17300000000000001</v>
      </c>
      <c r="L9" s="1">
        <v>0.17079</v>
      </c>
      <c r="M9" s="1">
        <v>5.3099999999999994E-2</v>
      </c>
      <c r="N9" s="1">
        <v>7.400000000000001E-2</v>
      </c>
      <c r="O9" s="1">
        <v>0.28499999999999998</v>
      </c>
      <c r="Q9" s="1">
        <v>8.5079999999999989E-2</v>
      </c>
      <c r="R9" s="1">
        <v>4.8659999999999995E-2</v>
      </c>
      <c r="S9" s="1">
        <v>1E-3</v>
      </c>
      <c r="T9" s="1">
        <v>0.192</v>
      </c>
      <c r="V9" s="1">
        <v>0.18414000000000003</v>
      </c>
      <c r="W9" s="1">
        <v>5.6710000000000003E-2</v>
      </c>
      <c r="X9" s="1">
        <v>7.4999999999999997E-2</v>
      </c>
      <c r="Y9" s="1">
        <v>0.29600000000000004</v>
      </c>
      <c r="AA9" s="1">
        <v>6.3219999999999998E-2</v>
      </c>
      <c r="AB9" s="1">
        <v>4.3810000000000002E-2</v>
      </c>
      <c r="AC9" s="1">
        <v>0</v>
      </c>
      <c r="AD9" s="1">
        <v>0.157</v>
      </c>
      <c r="AF9" s="1">
        <v>9.8452009391919573E-2</v>
      </c>
      <c r="AG9" s="1">
        <v>1.9363598793814763E-2</v>
      </c>
      <c r="AH9" s="1">
        <v>6.0499355756042636E-2</v>
      </c>
      <c r="AI9" s="1">
        <v>0.13640466302779652</v>
      </c>
      <c r="AK9" s="1">
        <v>4.215462509354103E-2</v>
      </c>
      <c r="AL9" s="1">
        <v>1.6278021841164298E-2</v>
      </c>
      <c r="AM9" s="1">
        <v>1.0249702284859004E-2</v>
      </c>
      <c r="AN9" s="1">
        <v>7.405954790222305E-2</v>
      </c>
      <c r="AP9" s="1">
        <v>0.13662605176776743</v>
      </c>
      <c r="AQ9" s="1">
        <v>3.0561478930278312E-2</v>
      </c>
      <c r="AR9" s="1">
        <v>7.6725553064421942E-2</v>
      </c>
      <c r="AS9" s="1">
        <v>0.19652655047111292</v>
      </c>
    </row>
    <row r="10" spans="1:45" x14ac:dyDescent="0.25">
      <c r="A10" t="s">
        <v>14</v>
      </c>
      <c r="B10" s="1">
        <v>3.2162176446944653E-4</v>
      </c>
      <c r="C10" s="1">
        <v>1.6945352623137684E-3</v>
      </c>
      <c r="D10" s="1">
        <v>0</v>
      </c>
      <c r="E10" s="1">
        <v>3.7269999999999998E-3</v>
      </c>
      <c r="G10" s="1">
        <v>8.9949999999999988E-2</v>
      </c>
      <c r="H10" s="1">
        <v>3.6580000000000001E-2</v>
      </c>
      <c r="I10" s="1">
        <v>1.9E-2</v>
      </c>
      <c r="J10" s="1">
        <v>0.16399999999999998</v>
      </c>
      <c r="L10" s="1">
        <v>0.14702999999999999</v>
      </c>
      <c r="M10" s="1">
        <v>4.8170000000000004E-2</v>
      </c>
      <c r="N10" s="1">
        <v>5.5999999999999994E-2</v>
      </c>
      <c r="O10" s="1">
        <v>0.245</v>
      </c>
      <c r="Q10" s="1">
        <v>9.0100000000000006E-3</v>
      </c>
      <c r="R10" s="1">
        <v>2.3969999999999998E-2</v>
      </c>
      <c r="S10" s="1">
        <v>0</v>
      </c>
      <c r="T10" s="1">
        <v>9.1999999999999998E-2</v>
      </c>
      <c r="V10" s="1">
        <v>2.0999999999999999E-3</v>
      </c>
      <c r="W10" s="1">
        <v>7.9699999999999997E-3</v>
      </c>
      <c r="X10" s="1">
        <v>0</v>
      </c>
      <c r="Y10" s="1">
        <v>2.6000000000000002E-2</v>
      </c>
      <c r="AA10" s="1">
        <v>3.3800000000000002E-3</v>
      </c>
      <c r="AB10" s="1">
        <v>1.2629999999999999E-2</v>
      </c>
      <c r="AC10" s="1">
        <v>0</v>
      </c>
      <c r="AD10" s="1">
        <v>4.4000000000000004E-2</v>
      </c>
      <c r="AF10" s="1">
        <v>2.8357901870023856E-2</v>
      </c>
      <c r="AG10" s="1">
        <v>8.0354232992079239E-3</v>
      </c>
      <c r="AH10" s="1">
        <v>1.2608472203576325E-2</v>
      </c>
      <c r="AI10" s="1">
        <v>4.4107331536471388E-2</v>
      </c>
      <c r="AK10" s="1">
        <v>3.7746578534939637E-2</v>
      </c>
      <c r="AL10" s="1">
        <v>1.5306089224204397E-2</v>
      </c>
      <c r="AM10" s="1">
        <v>7.7466436554990206E-3</v>
      </c>
      <c r="AN10" s="1">
        <v>6.7746513414380261E-2</v>
      </c>
      <c r="AP10" s="1">
        <v>2.1991642667641129E-2</v>
      </c>
      <c r="AQ10" s="1">
        <v>8.6082601178112689E-3</v>
      </c>
      <c r="AR10" s="1">
        <v>5.1194528367310421E-3</v>
      </c>
      <c r="AS10" s="1">
        <v>3.8863832498551215E-2</v>
      </c>
    </row>
    <row r="11" spans="1:45" x14ac:dyDescent="0.25">
      <c r="A11" t="s">
        <v>15</v>
      </c>
      <c r="B11" s="1">
        <v>3.5893730506429676E-3</v>
      </c>
      <c r="C11" s="1">
        <v>7.0297490063664413E-3</v>
      </c>
      <c r="D11" s="1">
        <v>0</v>
      </c>
      <c r="E11" s="1">
        <v>2.4999200000000013E-2</v>
      </c>
      <c r="G11" s="1">
        <v>5.6200000000000009E-3</v>
      </c>
      <c r="H11" s="1">
        <v>1.2430000000000002E-2</v>
      </c>
      <c r="I11" s="1">
        <v>0</v>
      </c>
      <c r="J11" s="1">
        <v>4.4999999999999998E-2</v>
      </c>
      <c r="L11" s="1">
        <v>2.3799999999999998E-2</v>
      </c>
      <c r="M11" s="1">
        <v>3.4049999999999997E-2</v>
      </c>
      <c r="N11" s="1">
        <v>0</v>
      </c>
      <c r="O11" s="1">
        <v>0.11800000000000001</v>
      </c>
      <c r="Q11" s="1">
        <v>7.6120000000000007E-2</v>
      </c>
      <c r="R11" s="1">
        <v>4.5739999999999996E-2</v>
      </c>
      <c r="S11" s="1">
        <v>0</v>
      </c>
      <c r="T11" s="1">
        <v>0.17699999999999999</v>
      </c>
      <c r="V11" s="1">
        <v>0.18212</v>
      </c>
      <c r="W11" s="1">
        <v>5.6270000000000001E-2</v>
      </c>
      <c r="X11" s="1">
        <v>7.400000000000001E-2</v>
      </c>
      <c r="Y11" s="1">
        <v>0.29202</v>
      </c>
      <c r="AA11" s="1">
        <v>5.9900000000000002E-2</v>
      </c>
      <c r="AB11" s="1">
        <v>4.2590000000000003E-2</v>
      </c>
      <c r="AC11" s="1">
        <v>0</v>
      </c>
      <c r="AD11" s="1">
        <v>0.151</v>
      </c>
      <c r="AF11" s="1">
        <v>7.0144928701740494E-2</v>
      </c>
      <c r="AG11" s="1">
        <v>1.7909368263894165E-2</v>
      </c>
      <c r="AH11" s="1">
        <v>3.5042566904507931E-2</v>
      </c>
      <c r="AI11" s="1">
        <v>0.10524729049897305</v>
      </c>
      <c r="AK11" s="1">
        <v>4.4372755486322959E-3</v>
      </c>
      <c r="AL11" s="1">
        <v>6.6108142758793606E-3</v>
      </c>
      <c r="AM11" s="1">
        <v>0</v>
      </c>
      <c r="AN11" s="1">
        <v>1.7394471529355842E-2</v>
      </c>
      <c r="AP11" s="1">
        <v>0.11469987147830055</v>
      </c>
      <c r="AQ11" s="1">
        <v>2.9717135960284916E-2</v>
      </c>
      <c r="AR11" s="1">
        <v>5.6454284996142114E-2</v>
      </c>
      <c r="AS11" s="1">
        <v>0.17294545796045899</v>
      </c>
    </row>
    <row r="12" spans="1:45" x14ac:dyDescent="0.25">
      <c r="A12" t="s">
        <v>16</v>
      </c>
      <c r="B12" s="1">
        <v>5.3252768086815179E-3</v>
      </c>
      <c r="C12" s="1">
        <v>9.4017380276703519E-3</v>
      </c>
      <c r="D12" s="1">
        <v>0</v>
      </c>
      <c r="E12" s="1">
        <v>3.2877300000000019E-2</v>
      </c>
      <c r="G12" s="1">
        <v>4.6180000000000006E-2</v>
      </c>
      <c r="H12" s="1">
        <v>1.8839999999999999E-2</v>
      </c>
      <c r="I12" s="1">
        <v>1.6E-2</v>
      </c>
      <c r="J12" s="1">
        <v>8.900000000000001E-2</v>
      </c>
      <c r="L12" s="1">
        <v>2.7539999999999999E-2</v>
      </c>
      <c r="M12" s="1">
        <v>1.8610000000000002E-2</v>
      </c>
      <c r="N12" s="1">
        <v>4.0000000000000001E-3</v>
      </c>
      <c r="O12" s="1">
        <v>7.6999999999999999E-2</v>
      </c>
      <c r="Q12" s="1">
        <v>0.13446</v>
      </c>
      <c r="R12" s="1">
        <v>2.8380000000000002E-2</v>
      </c>
      <c r="S12" s="1">
        <v>8.4000000000000005E-2</v>
      </c>
      <c r="T12" s="1">
        <v>0.19399999999999998</v>
      </c>
      <c r="V12" s="1">
        <v>0.14163999999999999</v>
      </c>
      <c r="W12" s="1">
        <v>3.4380000000000001E-2</v>
      </c>
      <c r="X12" s="1">
        <v>0.08</v>
      </c>
      <c r="Y12" s="1">
        <v>0.215</v>
      </c>
      <c r="AA12" s="1">
        <v>0.11155</v>
      </c>
      <c r="AB12" s="1">
        <v>2.8500000000000001E-2</v>
      </c>
      <c r="AC12" s="1">
        <v>6.0999999999999999E-2</v>
      </c>
      <c r="AD12" s="1">
        <v>0.17199999999999999</v>
      </c>
      <c r="AF12" s="1">
        <v>7.9317018299191064E-2</v>
      </c>
      <c r="AG12" s="1">
        <v>1.1627286878369487E-2</v>
      </c>
      <c r="AH12" s="1">
        <v>5.6527536017586866E-2</v>
      </c>
      <c r="AI12" s="1">
        <v>0.10210650058079526</v>
      </c>
      <c r="AK12" s="1">
        <v>2.2384452478318911E-2</v>
      </c>
      <c r="AL12" s="1">
        <v>9.5850117378895438E-3</v>
      </c>
      <c r="AM12" s="1">
        <v>3.5978294720554055E-3</v>
      </c>
      <c r="AN12" s="1">
        <v>4.1171075484582417E-2</v>
      </c>
      <c r="AP12" s="1">
        <v>0.11792176356928913</v>
      </c>
      <c r="AQ12" s="1">
        <v>1.839718840351353E-2</v>
      </c>
      <c r="AR12" s="1">
        <v>8.1863274298402608E-2</v>
      </c>
      <c r="AS12" s="1">
        <v>0.15398025284017564</v>
      </c>
    </row>
    <row r="13" spans="1:45" x14ac:dyDescent="0.25">
      <c r="A13" t="s">
        <v>17</v>
      </c>
      <c r="B13" s="1">
        <v>5.0083471463021412E-3</v>
      </c>
      <c r="C13" s="1">
        <v>9.2671966626479713E-3</v>
      </c>
      <c r="D13" s="1">
        <v>0</v>
      </c>
      <c r="E13" s="1">
        <v>3.2464025000000001E-2</v>
      </c>
      <c r="G13" s="1">
        <v>2.3540000000000002E-2</v>
      </c>
      <c r="H13" s="1">
        <v>1.269E-2</v>
      </c>
      <c r="I13" s="1">
        <v>5.0000000000000001E-3</v>
      </c>
      <c r="J13" s="1">
        <v>5.4000000000000006E-2</v>
      </c>
      <c r="L13" s="1">
        <v>2.1419999999999998E-2</v>
      </c>
      <c r="M13" s="1">
        <v>1.2749999999999999E-2</v>
      </c>
      <c r="N13" s="1">
        <v>3.0000000000000001E-3</v>
      </c>
      <c r="O13" s="1">
        <v>5.2000000000000005E-2</v>
      </c>
      <c r="Q13" s="1">
        <v>0.13392999999999999</v>
      </c>
      <c r="R13" s="1">
        <v>2.8290000000000003E-2</v>
      </c>
      <c r="S13" s="1">
        <v>8.4000000000000005E-2</v>
      </c>
      <c r="T13" s="1">
        <v>0.19399999999999998</v>
      </c>
      <c r="V13" s="1">
        <v>0.11785</v>
      </c>
      <c r="W13" s="1">
        <v>2.9750000000000002E-2</v>
      </c>
      <c r="X13" s="1">
        <v>6.6000000000000003E-2</v>
      </c>
      <c r="Y13" s="1">
        <v>0.18001999999999999</v>
      </c>
      <c r="AA13" s="1">
        <v>9.1999999999999998E-2</v>
      </c>
      <c r="AB13" s="1">
        <v>2.4740000000000002E-2</v>
      </c>
      <c r="AC13" s="1">
        <v>4.9000000000000002E-2</v>
      </c>
      <c r="AD13" s="1">
        <v>0.14400000000000002</v>
      </c>
      <c r="AF13" s="1">
        <v>6.5134227260195771E-2</v>
      </c>
      <c r="AG13" s="1">
        <v>1.0006427957037368E-2</v>
      </c>
      <c r="AH13" s="1">
        <v>4.5521628464402532E-2</v>
      </c>
      <c r="AI13" s="1">
        <v>8.4746826055989016E-2</v>
      </c>
      <c r="AK13" s="1">
        <v>1.274636852511659E-2</v>
      </c>
      <c r="AL13" s="1">
        <v>7.563828314385475E-3</v>
      </c>
      <c r="AM13" s="1">
        <v>0</v>
      </c>
      <c r="AN13" s="1">
        <v>2.7571472021312118E-2</v>
      </c>
      <c r="AP13" s="1">
        <v>0.10065730465103015</v>
      </c>
      <c r="AQ13" s="1">
        <v>1.5989107551377522E-2</v>
      </c>
      <c r="AR13" s="1">
        <v>6.9318653850330203E-2</v>
      </c>
      <c r="AS13" s="1">
        <v>0.1319959554517301</v>
      </c>
    </row>
    <row r="14" spans="1:45" x14ac:dyDescent="0.25">
      <c r="A14" t="s">
        <v>18</v>
      </c>
      <c r="B14" s="1">
        <v>3.1692966237941485E-4</v>
      </c>
      <c r="C14" s="1">
        <v>1.6124815313164371E-3</v>
      </c>
      <c r="D14" s="1">
        <v>0</v>
      </c>
      <c r="E14" s="1">
        <v>3.7030500000000029E-3</v>
      </c>
      <c r="G14" s="1">
        <v>2.257E-2</v>
      </c>
      <c r="H14" s="1">
        <v>1.3859999999999999E-2</v>
      </c>
      <c r="I14" s="1">
        <v>3.0000000000000001E-3</v>
      </c>
      <c r="J14" s="1">
        <v>5.5999999999999994E-2</v>
      </c>
      <c r="L14" s="1">
        <v>6.1700000000000001E-3</v>
      </c>
      <c r="M14" s="1">
        <v>1.362E-2</v>
      </c>
      <c r="N14" s="1">
        <v>0</v>
      </c>
      <c r="O14" s="1">
        <v>0.05</v>
      </c>
      <c r="Q14" s="1">
        <v>6.2E-4</v>
      </c>
      <c r="R14" s="1">
        <v>2.7700000000000003E-3</v>
      </c>
      <c r="S14" s="1">
        <v>0</v>
      </c>
      <c r="T14" s="1">
        <v>6.0000000000000001E-3</v>
      </c>
      <c r="V14" s="1">
        <v>2.3719999999999998E-2</v>
      </c>
      <c r="W14" s="1">
        <v>1.8100000000000002E-2</v>
      </c>
      <c r="X14" s="1">
        <v>0</v>
      </c>
      <c r="Y14" s="1">
        <v>6.8000000000000005E-2</v>
      </c>
      <c r="AA14" s="1">
        <v>1.9470000000000001E-2</v>
      </c>
      <c r="AB14" s="1">
        <v>1.4330000000000001E-2</v>
      </c>
      <c r="AC14" s="1">
        <v>0</v>
      </c>
      <c r="AD14" s="1">
        <v>5.5E-2</v>
      </c>
      <c r="AF14" s="1">
        <v>1.4149616787471345E-2</v>
      </c>
      <c r="AG14" s="1">
        <v>6.1294791667751061E-3</v>
      </c>
      <c r="AH14" s="1">
        <v>2.1358376205921382E-3</v>
      </c>
      <c r="AI14" s="1">
        <v>2.6163395954350552E-2</v>
      </c>
      <c r="AK14" s="1">
        <v>9.6088549631714315E-3</v>
      </c>
      <c r="AL14" s="1">
        <v>5.8630504844106486E-3</v>
      </c>
      <c r="AM14" s="1">
        <v>0</v>
      </c>
      <c r="AN14" s="1">
        <v>2.1100433912616304E-2</v>
      </c>
      <c r="AP14" s="1">
        <v>1.7228609469986608E-2</v>
      </c>
      <c r="AQ14" s="1">
        <v>9.4863653651937122E-3</v>
      </c>
      <c r="AR14" s="1">
        <v>0</v>
      </c>
      <c r="AS14" s="1">
        <v>3.582188558576628E-2</v>
      </c>
    </row>
    <row r="15" spans="1:45" x14ac:dyDescent="0.25">
      <c r="A15" t="s">
        <v>19</v>
      </c>
      <c r="B15" s="1">
        <v>4.542164730707338E-3</v>
      </c>
      <c r="C15" s="1">
        <v>8.0639611405192452E-3</v>
      </c>
      <c r="D15" s="1">
        <v>0</v>
      </c>
      <c r="E15" s="1">
        <v>2.8395025000000001E-2</v>
      </c>
      <c r="G15" s="1">
        <v>0.24953</v>
      </c>
      <c r="H15" s="1">
        <v>5.4120000000000001E-2</v>
      </c>
      <c r="I15" s="1">
        <v>0.15</v>
      </c>
      <c r="J15" s="1">
        <v>0.36299999999999999</v>
      </c>
      <c r="L15" s="1">
        <v>0.39796999999999999</v>
      </c>
      <c r="M15" s="1">
        <v>7.331E-2</v>
      </c>
      <c r="N15" s="1">
        <v>0.252</v>
      </c>
      <c r="O15" s="1">
        <v>0.54</v>
      </c>
      <c r="Q15" s="1">
        <v>0.52239999999999998</v>
      </c>
      <c r="R15" s="1">
        <v>6.404E-2</v>
      </c>
      <c r="S15" s="1">
        <v>0.39299999999999996</v>
      </c>
      <c r="T15" s="1">
        <v>0.64302000000000004</v>
      </c>
      <c r="V15" s="1">
        <v>0.64778000000000002</v>
      </c>
      <c r="W15" s="1">
        <v>6.2809999999999991E-2</v>
      </c>
      <c r="X15" s="1">
        <v>0.51998</v>
      </c>
      <c r="Y15" s="1">
        <v>0.76900000000000002</v>
      </c>
      <c r="AA15" s="1">
        <v>0.77532000000000001</v>
      </c>
      <c r="AB15" s="1">
        <v>5.7210000000000004E-2</v>
      </c>
      <c r="AC15" s="1">
        <v>0.65300000000000002</v>
      </c>
      <c r="AD15" s="1">
        <v>0.875</v>
      </c>
      <c r="AF15" s="1">
        <v>0.42051452961179914</v>
      </c>
      <c r="AG15" s="1">
        <v>2.3158712890572457E-2</v>
      </c>
      <c r="AH15" s="1">
        <v>0.37512345234627714</v>
      </c>
      <c r="AI15" s="1">
        <v>0.46590560687732113</v>
      </c>
      <c r="AK15" s="1">
        <v>0.10683855037042544</v>
      </c>
      <c r="AL15" s="1">
        <v>2.308111496263944E-2</v>
      </c>
      <c r="AM15" s="1">
        <v>6.1599565043652139E-2</v>
      </c>
      <c r="AN15" s="1">
        <v>0.15207753569719876</v>
      </c>
      <c r="AP15" s="1">
        <v>0.63321144747181157</v>
      </c>
      <c r="AQ15" s="1">
        <v>3.5571307707781379E-2</v>
      </c>
      <c r="AR15" s="1">
        <v>0.5634916843645601</v>
      </c>
      <c r="AS15" s="1">
        <v>0.70293121057906305</v>
      </c>
    </row>
    <row r="16" spans="1:45" x14ac:dyDescent="0.25">
      <c r="A16" t="s">
        <v>20</v>
      </c>
      <c r="B16" s="1">
        <v>0.99076367616558292</v>
      </c>
      <c r="C16" s="1">
        <v>1.1667777552774662E-2</v>
      </c>
      <c r="D16" s="1">
        <v>0.95945092499999995</v>
      </c>
      <c r="E16" s="1">
        <v>1</v>
      </c>
      <c r="G16" s="1">
        <v>0.85824</v>
      </c>
      <c r="H16" s="1">
        <v>4.0830000000000005E-2</v>
      </c>
      <c r="I16" s="1">
        <v>0.77400000000000002</v>
      </c>
      <c r="J16" s="1">
        <v>0.93700000000000006</v>
      </c>
      <c r="L16" s="1">
        <v>0.80159999999999998</v>
      </c>
      <c r="M16" s="1">
        <v>5.5190000000000003E-2</v>
      </c>
      <c r="N16" s="1">
        <v>0.68500000000000005</v>
      </c>
      <c r="O16" s="1">
        <v>0.90200000000000002</v>
      </c>
      <c r="Q16" s="1">
        <v>0.78037999999999996</v>
      </c>
      <c r="R16" s="1">
        <v>5.4809999999999998E-2</v>
      </c>
      <c r="S16" s="1">
        <v>0.66299999999999992</v>
      </c>
      <c r="T16" s="1">
        <v>0.877</v>
      </c>
      <c r="V16" s="1">
        <v>0.67415999999999998</v>
      </c>
      <c r="W16" s="1">
        <v>5.8360000000000002E-2</v>
      </c>
      <c r="X16" s="1">
        <v>0.55798000000000003</v>
      </c>
      <c r="Y16" s="1">
        <v>0.78700000000000003</v>
      </c>
      <c r="AA16" s="1">
        <v>0.82516</v>
      </c>
      <c r="AB16" s="1">
        <v>4.9139999999999996E-2</v>
      </c>
      <c r="AC16" s="1">
        <v>0.72299999999999998</v>
      </c>
      <c r="AD16" s="1">
        <v>0.91299999999999992</v>
      </c>
      <c r="AF16" s="1">
        <v>0.82217774184533643</v>
      </c>
      <c r="AG16" s="1">
        <v>2.0484190364430704E-2</v>
      </c>
      <c r="AH16" s="1">
        <v>0.78202872873105223</v>
      </c>
      <c r="AI16" s="1">
        <v>0.86232675495962063</v>
      </c>
      <c r="AK16" s="1">
        <v>0.93542748745839277</v>
      </c>
      <c r="AL16" s="1">
        <v>1.8353377674314945E-2</v>
      </c>
      <c r="AM16" s="1">
        <v>0.89945486721673551</v>
      </c>
      <c r="AN16" s="1">
        <v>0.97140010770005003</v>
      </c>
      <c r="AP16" s="1">
        <v>0.7453855313018829</v>
      </c>
      <c r="AQ16" s="1">
        <v>3.2042136104539119E-2</v>
      </c>
      <c r="AR16" s="1">
        <v>0.6825829445369862</v>
      </c>
      <c r="AS16" s="1">
        <v>0.80818811806677959</v>
      </c>
    </row>
    <row r="17" spans="1:45" x14ac:dyDescent="0.25">
      <c r="A17" t="s">
        <v>21</v>
      </c>
      <c r="B17" s="1">
        <v>9.2362716237940328E-3</v>
      </c>
      <c r="C17" s="1">
        <v>1.1667787918112524E-2</v>
      </c>
      <c r="D17" s="1">
        <v>0</v>
      </c>
      <c r="E17" s="1">
        <v>4.0548125000000011E-2</v>
      </c>
      <c r="G17" s="1">
        <v>0.14176</v>
      </c>
      <c r="H17" s="1">
        <v>4.0819999999999995E-2</v>
      </c>
      <c r="I17" s="1">
        <v>6.3E-2</v>
      </c>
      <c r="J17" s="1">
        <v>0.22502</v>
      </c>
      <c r="L17" s="1">
        <v>0.19839999999999999</v>
      </c>
      <c r="M17" s="1">
        <v>5.5190000000000003E-2</v>
      </c>
      <c r="N17" s="1">
        <v>9.6999999999999989E-2</v>
      </c>
      <c r="O17" s="1">
        <v>0.315</v>
      </c>
      <c r="Q17" s="1">
        <v>0.21962000000000001</v>
      </c>
      <c r="R17" s="1">
        <v>5.4820000000000001E-2</v>
      </c>
      <c r="S17" s="1">
        <v>0.12300000000000001</v>
      </c>
      <c r="T17" s="1">
        <v>0.33700000000000002</v>
      </c>
      <c r="V17" s="1">
        <v>0.32584000000000002</v>
      </c>
      <c r="W17" s="1">
        <v>5.8349999999999999E-2</v>
      </c>
      <c r="X17" s="1">
        <v>0.21299999999999999</v>
      </c>
      <c r="Y17" s="1">
        <v>0.442</v>
      </c>
      <c r="AA17" s="1">
        <v>0.17484000000000002</v>
      </c>
      <c r="AB17" s="1">
        <v>4.9139999999999996E-2</v>
      </c>
      <c r="AC17" s="1">
        <v>8.6999999999999994E-2</v>
      </c>
      <c r="AD17" s="1">
        <v>0.27699999999999997</v>
      </c>
      <c r="AF17" s="1">
        <v>0.17782224586669804</v>
      </c>
      <c r="AG17" s="1">
        <v>2.0481572470336856E-2</v>
      </c>
      <c r="AH17" s="1">
        <v>0.13767836382483781</v>
      </c>
      <c r="AI17" s="1">
        <v>0.21796612790855827</v>
      </c>
      <c r="AK17" s="1">
        <v>6.4572482131895315E-2</v>
      </c>
      <c r="AL17" s="1">
        <v>1.8349501197425674E-2</v>
      </c>
      <c r="AM17" s="1">
        <v>2.8607459784940996E-2</v>
      </c>
      <c r="AN17" s="1">
        <v>0.10053750447884963</v>
      </c>
      <c r="AP17" s="1">
        <v>0.2546144686981171</v>
      </c>
      <c r="AQ17" s="1">
        <v>3.2038444260069882E-2</v>
      </c>
      <c r="AR17" s="1">
        <v>0.19181911794838014</v>
      </c>
      <c r="AS17" s="1">
        <v>0.31740981944785407</v>
      </c>
    </row>
    <row r="18" spans="1:45" x14ac:dyDescent="0.25">
      <c r="A18" t="s">
        <v>22</v>
      </c>
      <c r="B18" s="1">
        <v>1.1241191318327947E-2</v>
      </c>
      <c r="C18" s="1">
        <v>1.259183973219224E-2</v>
      </c>
      <c r="D18" s="1">
        <v>6.0000000000000002E-6</v>
      </c>
      <c r="E18" s="1">
        <v>4.4289125000000006E-2</v>
      </c>
      <c r="G18" s="1">
        <v>0.38645000000000002</v>
      </c>
      <c r="H18" s="1">
        <v>4.734E-2</v>
      </c>
      <c r="I18" s="1">
        <v>0.29399999999999998</v>
      </c>
      <c r="J18" s="1">
        <v>0.48</v>
      </c>
      <c r="L18" s="1">
        <v>0.52381999999999995</v>
      </c>
      <c r="M18" s="1">
        <v>5.7999999999999996E-2</v>
      </c>
      <c r="N18" s="1">
        <v>0.41100000000000003</v>
      </c>
      <c r="O18" s="1">
        <v>0.63300000000000001</v>
      </c>
      <c r="Q18" s="1">
        <v>0.68153999999999992</v>
      </c>
      <c r="R18" s="1">
        <v>5.373E-2</v>
      </c>
      <c r="S18" s="1">
        <v>0.57298000000000004</v>
      </c>
      <c r="T18" s="1">
        <v>0.78</v>
      </c>
      <c r="V18" s="1">
        <v>0.82409999999999994</v>
      </c>
      <c r="W18" s="1">
        <v>5.2080000000000001E-2</v>
      </c>
      <c r="X18" s="1">
        <v>0.71599999999999997</v>
      </c>
      <c r="Y18" s="1">
        <v>0.91900000000000004</v>
      </c>
      <c r="AA18" s="1">
        <v>0.50911000000000006</v>
      </c>
      <c r="AB18" s="1">
        <v>5.9080000000000001E-2</v>
      </c>
      <c r="AC18" s="1">
        <v>0.39100000000000001</v>
      </c>
      <c r="AD18" s="1">
        <v>0.624</v>
      </c>
      <c r="AF18" s="1">
        <v>0.47407452689850216</v>
      </c>
      <c r="AG18" s="1">
        <v>2.0294968743631275E-2</v>
      </c>
      <c r="AH18" s="1">
        <v>0.43429638816098487</v>
      </c>
      <c r="AI18" s="1">
        <v>0.5138526656360195</v>
      </c>
      <c r="AK18" s="1">
        <v>0.16791225601070001</v>
      </c>
      <c r="AL18" s="1">
        <v>2.1083835890602403E-2</v>
      </c>
      <c r="AM18" s="1">
        <v>0.1265879376651193</v>
      </c>
      <c r="AN18" s="1">
        <v>0.20923657435628071</v>
      </c>
      <c r="AP18" s="1">
        <v>0.6816765611388993</v>
      </c>
      <c r="AQ18" s="1">
        <v>3.0910496674760937E-2</v>
      </c>
      <c r="AR18" s="1">
        <v>0.62109198765636786</v>
      </c>
      <c r="AS18" s="1">
        <v>0.74226113462143073</v>
      </c>
    </row>
    <row r="19" spans="1:45" x14ac:dyDescent="0.25">
      <c r="A19" t="s">
        <v>23</v>
      </c>
      <c r="B19" s="1">
        <v>8.9146498593245613E-3</v>
      </c>
      <c r="C19" s="1">
        <v>1.1561376614540131E-2</v>
      </c>
      <c r="D19" s="1">
        <v>0</v>
      </c>
      <c r="E19" s="1">
        <v>4.0046200000000011E-2</v>
      </c>
      <c r="G19" s="1">
        <v>5.1729999999999998E-2</v>
      </c>
      <c r="H19" s="1">
        <v>2.2099999999999998E-2</v>
      </c>
      <c r="I19" s="1">
        <v>1.8000000000000002E-2</v>
      </c>
      <c r="J19" s="1">
        <v>0.10400000000000001</v>
      </c>
      <c r="L19" s="1">
        <v>5.1310000000000001E-2</v>
      </c>
      <c r="M19" s="1">
        <v>3.7850000000000002E-2</v>
      </c>
      <c r="N19" s="1">
        <v>6.0000000000000001E-3</v>
      </c>
      <c r="O19" s="1">
        <v>0.14699999999999999</v>
      </c>
      <c r="Q19" s="1">
        <v>0.21065</v>
      </c>
      <c r="R19" s="1">
        <v>5.2539999999999996E-2</v>
      </c>
      <c r="S19" s="1">
        <v>0.11599999999999999</v>
      </c>
      <c r="T19" s="1">
        <v>0.32</v>
      </c>
      <c r="V19" s="1">
        <v>0.32380999999999999</v>
      </c>
      <c r="W19" s="1">
        <v>5.7969999999999994E-2</v>
      </c>
      <c r="X19" s="1">
        <v>0.21198</v>
      </c>
      <c r="Y19" s="1">
        <v>0.439</v>
      </c>
      <c r="AA19" s="1">
        <v>0.17152000000000001</v>
      </c>
      <c r="AB19" s="1">
        <v>4.8390000000000002E-2</v>
      </c>
      <c r="AC19" s="1">
        <v>8.5000000000000006E-2</v>
      </c>
      <c r="AD19" s="1">
        <v>0.27200000000000002</v>
      </c>
      <c r="AF19" s="1">
        <v>0.14947860913714903</v>
      </c>
      <c r="AG19" s="1">
        <v>1.9221914255281254E-2</v>
      </c>
      <c r="AH19" s="1">
        <v>0.11180365719679777</v>
      </c>
      <c r="AI19" s="1">
        <v>0.18715356107750028</v>
      </c>
      <c r="AK19" s="1">
        <v>2.6792499036920336E-2</v>
      </c>
      <c r="AL19" s="1">
        <v>1.1423694807743802E-2</v>
      </c>
      <c r="AM19" s="1">
        <v>4.4020572137424829E-3</v>
      </c>
      <c r="AN19" s="1">
        <v>4.9182940860098188E-2</v>
      </c>
      <c r="AP19" s="1">
        <v>0.23266941496698507</v>
      </c>
      <c r="AQ19" s="1">
        <v>3.1311958928399372E-2</v>
      </c>
      <c r="AR19" s="1">
        <v>0.17129797546732228</v>
      </c>
      <c r="AS19" s="1">
        <v>0.29404085446664785</v>
      </c>
    </row>
    <row r="22" spans="1:45" x14ac:dyDescent="0.25">
      <c r="A22" t="s">
        <v>19</v>
      </c>
      <c r="B22" s="1">
        <v>4.542164730707338E-3</v>
      </c>
      <c r="C22" s="1">
        <v>8.0639611405192452E-3</v>
      </c>
      <c r="D22" s="1">
        <v>0</v>
      </c>
      <c r="E22" s="1">
        <v>2.8395025000000001E-2</v>
      </c>
      <c r="G22" s="1">
        <v>0.24953</v>
      </c>
      <c r="H22" s="1">
        <v>5.4120000000000001E-2</v>
      </c>
      <c r="I22" s="1">
        <v>0.15</v>
      </c>
      <c r="J22" s="1">
        <v>0.36299999999999999</v>
      </c>
      <c r="L22" s="1">
        <v>0.39796999999999999</v>
      </c>
      <c r="M22" s="1">
        <v>7.331E-2</v>
      </c>
      <c r="N22" s="1">
        <v>0.252</v>
      </c>
      <c r="O22" s="1">
        <v>0.54</v>
      </c>
      <c r="Q22" s="1">
        <v>0.52239999999999998</v>
      </c>
      <c r="R22" s="1">
        <v>6.404E-2</v>
      </c>
      <c r="S22" s="1">
        <v>0.39299999999999996</v>
      </c>
      <c r="T22" s="1">
        <v>0.64302000000000004</v>
      </c>
      <c r="V22" s="1">
        <v>0.64778000000000002</v>
      </c>
      <c r="W22" s="1">
        <v>6.2809999999999991E-2</v>
      </c>
      <c r="X22" s="1">
        <v>0.51998</v>
      </c>
      <c r="Y22" s="1">
        <v>0.76900000000000002</v>
      </c>
      <c r="AA22" s="1">
        <v>0.77532000000000001</v>
      </c>
      <c r="AB22" s="1">
        <v>5.7210000000000004E-2</v>
      </c>
      <c r="AC22" s="1">
        <v>0.65300000000000002</v>
      </c>
      <c r="AD22" s="1">
        <v>0.875</v>
      </c>
      <c r="AF22" s="1">
        <v>0.42051452961179914</v>
      </c>
      <c r="AG22" s="1">
        <v>2.3158712890572457E-2</v>
      </c>
      <c r="AH22" s="1">
        <v>0.37512345234627714</v>
      </c>
      <c r="AI22" s="1">
        <v>0.46590560687732113</v>
      </c>
      <c r="AK22" s="1">
        <v>0.10683855037042544</v>
      </c>
      <c r="AL22" s="1">
        <v>2.308111496263944E-2</v>
      </c>
      <c r="AM22" s="1">
        <v>6.1599565043652139E-2</v>
      </c>
      <c r="AN22" s="1">
        <v>0.15207753569719876</v>
      </c>
      <c r="AP22" s="1">
        <v>0.63321144747181157</v>
      </c>
      <c r="AQ22" s="1">
        <v>3.5571307707781379E-2</v>
      </c>
      <c r="AR22" s="1">
        <v>0.5634916843645601</v>
      </c>
      <c r="AS22" s="1">
        <v>0.70293121057906305</v>
      </c>
    </row>
    <row r="23" spans="1:45" x14ac:dyDescent="0.25">
      <c r="A23" t="s">
        <v>23</v>
      </c>
      <c r="B23" s="1">
        <v>8.9146498593245613E-3</v>
      </c>
      <c r="C23" s="1">
        <v>1.1561376614540131E-2</v>
      </c>
      <c r="D23" s="1">
        <v>0</v>
      </c>
      <c r="E23" s="1">
        <v>4.0046200000000011E-2</v>
      </c>
      <c r="G23" s="1">
        <v>5.1729999999999998E-2</v>
      </c>
      <c r="H23" s="1">
        <v>2.2099999999999998E-2</v>
      </c>
      <c r="I23" s="1">
        <v>1.8000000000000002E-2</v>
      </c>
      <c r="J23" s="1">
        <v>0.10400000000000001</v>
      </c>
      <c r="L23" s="1">
        <v>5.1310000000000001E-2</v>
      </c>
      <c r="M23" s="1">
        <v>3.7850000000000002E-2</v>
      </c>
      <c r="N23" s="1">
        <v>6.0000000000000001E-3</v>
      </c>
      <c r="O23" s="1">
        <v>0.14699999999999999</v>
      </c>
      <c r="Q23" s="1">
        <v>0.21065</v>
      </c>
      <c r="R23" s="1">
        <v>5.2539999999999996E-2</v>
      </c>
      <c r="S23" s="1">
        <v>0.11599999999999999</v>
      </c>
      <c r="T23" s="1">
        <v>0.32</v>
      </c>
      <c r="V23" s="1">
        <v>0.32380999999999999</v>
      </c>
      <c r="W23" s="1">
        <v>5.7969999999999994E-2</v>
      </c>
      <c r="X23" s="1">
        <v>0.21198</v>
      </c>
      <c r="Y23" s="1">
        <v>0.439</v>
      </c>
      <c r="AA23" s="1">
        <v>0.17152000000000001</v>
      </c>
      <c r="AB23" s="1">
        <v>4.8390000000000002E-2</v>
      </c>
      <c r="AC23" s="1">
        <v>8.5000000000000006E-2</v>
      </c>
      <c r="AD23" s="1">
        <v>0.27200000000000002</v>
      </c>
      <c r="AF23" s="1">
        <v>0.14947860913714903</v>
      </c>
      <c r="AG23" s="1">
        <v>1.9221914255281254E-2</v>
      </c>
      <c r="AH23" s="1">
        <v>0.11180365719679777</v>
      </c>
      <c r="AI23" s="1">
        <v>0.18715356107750028</v>
      </c>
      <c r="AK23" s="1">
        <v>2.6792499036920336E-2</v>
      </c>
      <c r="AL23" s="1">
        <v>1.1423694807743802E-2</v>
      </c>
      <c r="AM23" s="1">
        <v>4.4020572137424829E-3</v>
      </c>
      <c r="AN23" s="1">
        <v>4.9182940860098188E-2</v>
      </c>
      <c r="AP23" s="1">
        <v>0.23266941496698507</v>
      </c>
      <c r="AQ23" s="1">
        <v>3.1311958928399372E-2</v>
      </c>
      <c r="AR23" s="1">
        <v>0.17129797546732228</v>
      </c>
      <c r="AS23" s="1">
        <v>0.29404085446664785</v>
      </c>
    </row>
    <row r="24" spans="1:45" x14ac:dyDescent="0.25">
      <c r="A24" t="s">
        <v>22</v>
      </c>
      <c r="B24" s="1">
        <v>1.1241191318327947E-2</v>
      </c>
      <c r="C24" s="1">
        <v>1.259183973219224E-2</v>
      </c>
      <c r="D24" s="1">
        <v>6.0000000000000002E-6</v>
      </c>
      <c r="E24" s="1">
        <v>4.4289125000000006E-2</v>
      </c>
      <c r="G24" s="1">
        <v>0.38645000000000002</v>
      </c>
      <c r="H24" s="1">
        <v>4.734E-2</v>
      </c>
      <c r="I24" s="1">
        <v>0.29399999999999998</v>
      </c>
      <c r="J24" s="1">
        <v>0.48</v>
      </c>
      <c r="L24" s="1">
        <v>0.52381999999999995</v>
      </c>
      <c r="M24" s="1">
        <v>5.7999999999999996E-2</v>
      </c>
      <c r="N24" s="1">
        <v>0.41100000000000003</v>
      </c>
      <c r="O24" s="1">
        <v>0.63300000000000001</v>
      </c>
      <c r="Q24" s="1">
        <v>0.68153999999999992</v>
      </c>
      <c r="R24" s="1">
        <v>5.373E-2</v>
      </c>
      <c r="S24" s="1">
        <v>0.57298000000000004</v>
      </c>
      <c r="T24" s="1">
        <v>0.78</v>
      </c>
      <c r="V24" s="1">
        <v>0.82409999999999994</v>
      </c>
      <c r="W24" s="1">
        <v>5.2080000000000001E-2</v>
      </c>
      <c r="X24" s="1">
        <v>0.71599999999999997</v>
      </c>
      <c r="Y24" s="1">
        <v>0.91900000000000004</v>
      </c>
      <c r="AA24" s="1">
        <v>0.50911000000000006</v>
      </c>
      <c r="AB24" s="1">
        <v>5.9080000000000001E-2</v>
      </c>
      <c r="AC24" s="1">
        <v>0.39100000000000001</v>
      </c>
      <c r="AD24" s="1">
        <v>0.624</v>
      </c>
      <c r="AF24" s="1">
        <v>0.47407452689850216</v>
      </c>
      <c r="AG24" s="1">
        <v>2.0294968743631275E-2</v>
      </c>
      <c r="AH24" s="1">
        <v>0.43429638816098487</v>
      </c>
      <c r="AI24" s="1">
        <v>0.5138526656360195</v>
      </c>
      <c r="AK24" s="1">
        <v>0.16791225601070001</v>
      </c>
      <c r="AL24" s="1">
        <v>2.1083835890602403E-2</v>
      </c>
      <c r="AM24" s="1">
        <v>0.1265879376651193</v>
      </c>
      <c r="AN24" s="1">
        <v>0.20923657435628071</v>
      </c>
      <c r="AP24" s="1">
        <v>0.6816765611388993</v>
      </c>
      <c r="AQ24" s="1">
        <v>3.0910496674760937E-2</v>
      </c>
      <c r="AR24" s="1">
        <v>0.62109198765636786</v>
      </c>
      <c r="AS24" s="1">
        <v>0.74226113462143073</v>
      </c>
    </row>
    <row r="25" spans="1:45" x14ac:dyDescent="0.25">
      <c r="A25" t="s">
        <v>20</v>
      </c>
      <c r="B25" s="1">
        <v>0.99076367616558292</v>
      </c>
      <c r="C25" s="1">
        <v>1.1667777552774662E-2</v>
      </c>
      <c r="D25" s="1">
        <v>0.95945092499999995</v>
      </c>
      <c r="E25" s="1">
        <v>1</v>
      </c>
      <c r="G25" s="1">
        <v>0.85824</v>
      </c>
      <c r="H25" s="1">
        <v>4.0830000000000005E-2</v>
      </c>
      <c r="I25" s="1">
        <v>0.77400000000000002</v>
      </c>
      <c r="J25" s="1">
        <v>0.93700000000000006</v>
      </c>
      <c r="L25" s="1">
        <v>0.80159999999999998</v>
      </c>
      <c r="M25" s="1">
        <v>5.5190000000000003E-2</v>
      </c>
      <c r="N25" s="1">
        <v>0.68500000000000005</v>
      </c>
      <c r="O25" s="1">
        <v>0.90200000000000002</v>
      </c>
      <c r="Q25" s="1">
        <v>0.78037999999999996</v>
      </c>
      <c r="R25" s="1">
        <v>5.4809999999999998E-2</v>
      </c>
      <c r="S25" s="1">
        <v>0.66299999999999992</v>
      </c>
      <c r="T25" s="1">
        <v>0.877</v>
      </c>
      <c r="V25" s="1">
        <v>0.67415999999999998</v>
      </c>
      <c r="W25" s="1">
        <v>5.8360000000000002E-2</v>
      </c>
      <c r="X25" s="1">
        <v>0.55798000000000003</v>
      </c>
      <c r="Y25" s="1">
        <v>0.78700000000000003</v>
      </c>
      <c r="AA25" s="1">
        <v>0.82516</v>
      </c>
      <c r="AB25" s="1">
        <v>4.9139999999999996E-2</v>
      </c>
      <c r="AC25" s="1">
        <v>0.72299999999999998</v>
      </c>
      <c r="AD25" s="1">
        <v>0.91299999999999992</v>
      </c>
      <c r="AF25" s="1">
        <v>0.82217774184533643</v>
      </c>
      <c r="AG25" s="1">
        <v>2.0484190364430704E-2</v>
      </c>
      <c r="AH25" s="1">
        <v>0.78202872873105223</v>
      </c>
      <c r="AI25" s="1">
        <v>0.86232675495962063</v>
      </c>
      <c r="AK25" s="1">
        <v>0.93542748745839277</v>
      </c>
      <c r="AL25" s="1">
        <v>1.8353377674314945E-2</v>
      </c>
      <c r="AM25" s="1">
        <v>0.89945486721673551</v>
      </c>
      <c r="AN25" s="1">
        <v>0.97140010770005003</v>
      </c>
      <c r="AP25" s="1">
        <v>0.7453855313018829</v>
      </c>
      <c r="AQ25" s="1">
        <v>3.2042136104539119E-2</v>
      </c>
      <c r="AR25" s="1">
        <v>0.6825829445369862</v>
      </c>
      <c r="AS25" s="1">
        <v>0.80818811806677959</v>
      </c>
    </row>
    <row r="26" spans="1:45" x14ac:dyDescent="0.25">
      <c r="A26" t="s">
        <v>21</v>
      </c>
      <c r="B26" s="1">
        <v>9.2362716237940328E-3</v>
      </c>
      <c r="C26" s="1">
        <v>1.1667787918112524E-2</v>
      </c>
      <c r="D26" s="1">
        <v>0</v>
      </c>
      <c r="E26" s="1">
        <v>4.0548125000000011E-2</v>
      </c>
      <c r="G26" s="1">
        <v>0.14176</v>
      </c>
      <c r="H26" s="1">
        <v>4.0819999999999995E-2</v>
      </c>
      <c r="I26" s="1">
        <v>6.3E-2</v>
      </c>
      <c r="J26" s="1">
        <v>0.22502</v>
      </c>
      <c r="L26" s="1">
        <v>0.19839999999999999</v>
      </c>
      <c r="M26" s="1">
        <v>5.5190000000000003E-2</v>
      </c>
      <c r="N26" s="1">
        <v>9.6999999999999989E-2</v>
      </c>
      <c r="O26" s="1">
        <v>0.315</v>
      </c>
      <c r="Q26" s="1">
        <v>0.21962000000000001</v>
      </c>
      <c r="R26" s="1">
        <v>5.4820000000000001E-2</v>
      </c>
      <c r="S26" s="1">
        <v>0.12300000000000001</v>
      </c>
      <c r="T26" s="1">
        <v>0.33700000000000002</v>
      </c>
      <c r="V26" s="1">
        <v>0.32584000000000002</v>
      </c>
      <c r="W26" s="1">
        <v>5.8349999999999999E-2</v>
      </c>
      <c r="X26" s="1">
        <v>0.21299999999999999</v>
      </c>
      <c r="Y26" s="1">
        <v>0.442</v>
      </c>
      <c r="AA26" s="1">
        <v>0.17484000000000002</v>
      </c>
      <c r="AB26" s="1">
        <v>4.9139999999999996E-2</v>
      </c>
      <c r="AC26" s="1">
        <v>8.6999999999999994E-2</v>
      </c>
      <c r="AD26" s="1">
        <v>0.27699999999999997</v>
      </c>
      <c r="AF26" s="1">
        <v>0.17782224586669804</v>
      </c>
      <c r="AG26" s="1">
        <v>2.0481572470336856E-2</v>
      </c>
      <c r="AH26" s="1">
        <v>0.13767836382483781</v>
      </c>
      <c r="AI26" s="1">
        <v>0.21796612790855827</v>
      </c>
      <c r="AK26" s="1">
        <v>6.4572482131895315E-2</v>
      </c>
      <c r="AL26" s="1">
        <v>1.8349501197425674E-2</v>
      </c>
      <c r="AM26" s="1">
        <v>2.8607459784940996E-2</v>
      </c>
      <c r="AN26" s="1">
        <v>0.10053750447884963</v>
      </c>
      <c r="AP26" s="1">
        <v>0.2546144686981171</v>
      </c>
      <c r="AQ26" s="1">
        <v>3.2038444260069882E-2</v>
      </c>
      <c r="AR26" s="1">
        <v>0.19181911794838014</v>
      </c>
      <c r="AS26" s="1">
        <v>0.31740981944785407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C05CA-D31C-48A3-B328-FD96D380AB41}">
  <dimension ref="A1:BH26"/>
  <sheetViews>
    <sheetView workbookViewId="0">
      <pane xSplit="1" ySplit="2" topLeftCell="AF3" activePane="bottomRight" state="frozen"/>
      <selection pane="topRight" activeCell="B1" sqref="B1"/>
      <selection pane="bottomLeft" activeCell="A3" sqref="A3"/>
      <selection pane="bottomRight" activeCell="D27" sqref="D27"/>
    </sheetView>
  </sheetViews>
  <sheetFormatPr defaultRowHeight="15" x14ac:dyDescent="0.25"/>
  <cols>
    <col min="1" max="1" width="17.28515625" customWidth="1"/>
  </cols>
  <sheetData>
    <row r="1" spans="1:60" x14ac:dyDescent="0.25">
      <c r="B1" t="s">
        <v>55</v>
      </c>
      <c r="G1" t="s">
        <v>56</v>
      </c>
      <c r="L1" s="4" t="s">
        <v>57</v>
      </c>
      <c r="Q1" t="s">
        <v>58</v>
      </c>
      <c r="V1" t="s">
        <v>59</v>
      </c>
      <c r="AA1" t="s">
        <v>60</v>
      </c>
      <c r="AF1" t="s">
        <v>61</v>
      </c>
      <c r="AK1" t="s">
        <v>62</v>
      </c>
      <c r="AP1" t="s">
        <v>63</v>
      </c>
      <c r="AU1" t="s">
        <v>46</v>
      </c>
      <c r="AZ1" t="s">
        <v>70</v>
      </c>
      <c r="BE1" t="s">
        <v>71</v>
      </c>
    </row>
    <row r="2" spans="1:60" x14ac:dyDescent="0.25">
      <c r="A2" t="s">
        <v>64</v>
      </c>
      <c r="B2" t="s">
        <v>65</v>
      </c>
      <c r="C2" t="s">
        <v>34</v>
      </c>
      <c r="D2">
        <v>2.5</v>
      </c>
      <c r="E2">
        <v>97.5</v>
      </c>
      <c r="G2" t="s">
        <v>65</v>
      </c>
      <c r="H2" t="s">
        <v>34</v>
      </c>
      <c r="I2">
        <v>2.5</v>
      </c>
      <c r="J2">
        <v>97.5</v>
      </c>
      <c r="L2" t="s">
        <v>65</v>
      </c>
      <c r="M2" t="s">
        <v>34</v>
      </c>
      <c r="N2">
        <v>2.5</v>
      </c>
      <c r="O2">
        <v>97.5</v>
      </c>
      <c r="Q2" t="s">
        <v>65</v>
      </c>
      <c r="R2" t="s">
        <v>34</v>
      </c>
      <c r="S2">
        <v>2.5</v>
      </c>
      <c r="T2">
        <v>97.5</v>
      </c>
      <c r="V2" t="s">
        <v>65</v>
      </c>
      <c r="W2" t="s">
        <v>34</v>
      </c>
      <c r="X2">
        <v>2.5</v>
      </c>
      <c r="Y2">
        <v>97.5</v>
      </c>
      <c r="AA2" t="s">
        <v>65</v>
      </c>
      <c r="AB2" t="s">
        <v>34</v>
      </c>
      <c r="AC2">
        <v>2.5</v>
      </c>
      <c r="AD2">
        <v>97.5</v>
      </c>
      <c r="AF2" t="s">
        <v>65</v>
      </c>
      <c r="AG2" t="s">
        <v>34</v>
      </c>
      <c r="AH2">
        <v>2.5</v>
      </c>
      <c r="AI2">
        <v>97.5</v>
      </c>
      <c r="AK2" t="s">
        <v>65</v>
      </c>
      <c r="AL2" t="s">
        <v>34</v>
      </c>
      <c r="AM2">
        <v>2.5</v>
      </c>
      <c r="AN2">
        <v>97.5</v>
      </c>
      <c r="AP2" t="s">
        <v>65</v>
      </c>
      <c r="AQ2" t="s">
        <v>34</v>
      </c>
      <c r="AR2">
        <v>2.5</v>
      </c>
      <c r="AS2">
        <v>97.5</v>
      </c>
      <c r="AU2" t="s">
        <v>65</v>
      </c>
      <c r="AV2" t="s">
        <v>34</v>
      </c>
      <c r="AW2" t="s">
        <v>35</v>
      </c>
      <c r="AZ2" t="s">
        <v>65</v>
      </c>
      <c r="BA2" t="s">
        <v>34</v>
      </c>
      <c r="BB2" t="s">
        <v>35</v>
      </c>
      <c r="BE2" t="s">
        <v>65</v>
      </c>
      <c r="BF2" t="s">
        <v>34</v>
      </c>
      <c r="BG2" t="s">
        <v>35</v>
      </c>
    </row>
    <row r="3" spans="1:60" x14ac:dyDescent="0.25">
      <c r="A3" t="s">
        <v>9</v>
      </c>
      <c r="B3" s="1">
        <v>0.98966999999999994</v>
      </c>
      <c r="C3" s="1">
        <v>1.328E-2</v>
      </c>
      <c r="D3" s="1">
        <v>0.95200000000000007</v>
      </c>
      <c r="E3" s="1">
        <v>1</v>
      </c>
      <c r="G3" s="1">
        <v>0.88841999999999999</v>
      </c>
      <c r="H3" s="1">
        <v>4.4729999999999999E-2</v>
      </c>
      <c r="I3" s="1">
        <v>0.79197999999999991</v>
      </c>
      <c r="J3" s="1">
        <v>0.96400000000000008</v>
      </c>
      <c r="L3" s="1">
        <v>0.48655999999999999</v>
      </c>
      <c r="M3" s="1">
        <v>5.0659999999999997E-2</v>
      </c>
      <c r="N3" s="1">
        <v>0.38799999999999996</v>
      </c>
      <c r="O3" s="1">
        <v>0.58700000000000008</v>
      </c>
      <c r="Q3" s="1">
        <v>0.66166999999999998</v>
      </c>
      <c r="R3" s="1">
        <v>4.684E-2</v>
      </c>
      <c r="S3" s="1">
        <v>0.56799999999999995</v>
      </c>
      <c r="T3" s="1">
        <v>0.75099999999999989</v>
      </c>
      <c r="V3" s="1">
        <v>0.11444000000000001</v>
      </c>
      <c r="W3" s="1">
        <v>3.662E-2</v>
      </c>
      <c r="X3" s="1">
        <v>5.7000000000000002E-2</v>
      </c>
      <c r="Y3" s="1">
        <v>0.20199999999999999</v>
      </c>
      <c r="AA3" s="1">
        <v>0.22001000000000001</v>
      </c>
      <c r="AB3" s="1">
        <v>5.6609999999999994E-2</v>
      </c>
      <c r="AC3" s="1">
        <v>0.11699999999999999</v>
      </c>
      <c r="AD3" s="1">
        <v>0.33799999999999997</v>
      </c>
      <c r="AF3" s="1">
        <v>3.6110000000000003E-2</v>
      </c>
      <c r="AG3" s="1">
        <v>1.9570000000000001E-2</v>
      </c>
      <c r="AH3" s="1">
        <v>6.9999999999999993E-3</v>
      </c>
      <c r="AI3" s="1">
        <v>8.1000000000000003E-2</v>
      </c>
      <c r="AK3" s="1">
        <v>2.86E-2</v>
      </c>
      <c r="AL3" s="1">
        <v>1.4339999999999999E-2</v>
      </c>
      <c r="AM3" s="1">
        <v>6.9999999999999993E-3</v>
      </c>
      <c r="AN3" s="1">
        <v>6.2E-2</v>
      </c>
      <c r="AP3" s="1">
        <v>1.494E-2</v>
      </c>
      <c r="AQ3" s="1">
        <v>1.72E-2</v>
      </c>
      <c r="AR3" s="1">
        <v>0</v>
      </c>
      <c r="AS3" s="1">
        <v>6.2E-2</v>
      </c>
      <c r="AU3" s="1">
        <v>0.64681393169206325</v>
      </c>
      <c r="AV3" s="1">
        <v>1.2865400198408145E-2</v>
      </c>
      <c r="AW3" s="1">
        <v>0.62159774730318329</v>
      </c>
      <c r="AX3" s="1">
        <v>0.67203011608094321</v>
      </c>
      <c r="AZ3" s="1">
        <v>0.95997249650754224</v>
      </c>
      <c r="BA3" s="1">
        <v>1.6130780010562635E-2</v>
      </c>
      <c r="BB3" s="1">
        <v>0.92835616768683948</v>
      </c>
      <c r="BC3" s="1">
        <v>0.99158882532824499</v>
      </c>
      <c r="BE3" s="1">
        <v>0.18218638065498352</v>
      </c>
      <c r="BF3" s="1">
        <v>1.6639896512164156E-2</v>
      </c>
      <c r="BG3" s="1">
        <v>0.14957218349114176</v>
      </c>
      <c r="BH3" s="1">
        <v>0.21480057781882528</v>
      </c>
    </row>
    <row r="4" spans="1:60" x14ac:dyDescent="0.25">
      <c r="A4" t="s">
        <v>10</v>
      </c>
      <c r="B4" s="1">
        <v>0.90505999999999998</v>
      </c>
      <c r="C4" s="1">
        <v>3.7919999999999995E-2</v>
      </c>
      <c r="D4" s="1">
        <v>0.82599999999999996</v>
      </c>
      <c r="E4" s="1">
        <v>0.97599999999999998</v>
      </c>
      <c r="G4" s="1">
        <v>0.83633999999999997</v>
      </c>
      <c r="H4" s="1">
        <v>5.6050000000000003E-2</v>
      </c>
      <c r="I4" s="1">
        <v>0.72400000000000009</v>
      </c>
      <c r="J4" s="1">
        <v>0.94</v>
      </c>
      <c r="L4" s="1">
        <v>0.38966000000000001</v>
      </c>
      <c r="M4" s="1">
        <v>5.7380000000000007E-2</v>
      </c>
      <c r="N4" s="1">
        <v>0.28899999999999998</v>
      </c>
      <c r="O4" s="1">
        <v>0.50900000000000001</v>
      </c>
      <c r="Q4" s="1">
        <v>0.50807999999999998</v>
      </c>
      <c r="R4" s="1">
        <v>5.5370000000000003E-2</v>
      </c>
      <c r="S4" s="1">
        <v>0.40600000000000003</v>
      </c>
      <c r="T4" s="1">
        <v>0.62102000000000002</v>
      </c>
      <c r="V4" s="1">
        <v>0.11303000000000001</v>
      </c>
      <c r="W4" s="1">
        <v>3.6360000000000003E-2</v>
      </c>
      <c r="X4" s="1">
        <v>5.7000000000000002E-2</v>
      </c>
      <c r="Y4" s="1">
        <v>0.2</v>
      </c>
      <c r="AA4" s="1">
        <v>0.19431999999999999</v>
      </c>
      <c r="AB4" s="1">
        <v>6.2210000000000001E-2</v>
      </c>
      <c r="AC4" s="1">
        <v>8.3000000000000004E-2</v>
      </c>
      <c r="AD4" s="1">
        <v>0.32200000000000001</v>
      </c>
      <c r="AF4" s="1">
        <v>3.1709999999999995E-2</v>
      </c>
      <c r="AG4" s="1">
        <v>1.7849999999999998E-2</v>
      </c>
      <c r="AH4" s="1">
        <v>5.0000000000000001E-3</v>
      </c>
      <c r="AI4" s="1">
        <v>7.400000000000001E-2</v>
      </c>
      <c r="AK4" s="1">
        <v>2.7910000000000001E-2</v>
      </c>
      <c r="AL4" s="1">
        <v>1.406E-2</v>
      </c>
      <c r="AM4" s="1">
        <v>6.9999999999999993E-3</v>
      </c>
      <c r="AN4" s="1">
        <v>6.0999999999999999E-2</v>
      </c>
      <c r="AP4" s="1">
        <v>6.7900000000000009E-3</v>
      </c>
      <c r="AQ4" s="1">
        <v>1.044E-2</v>
      </c>
      <c r="AR4" s="1">
        <v>0</v>
      </c>
      <c r="AS4" s="1">
        <v>3.7999999999999999E-2</v>
      </c>
      <c r="AU4" s="1">
        <v>0.58894326361571681</v>
      </c>
      <c r="AV4" s="1">
        <v>2.0192146715555453E-2</v>
      </c>
      <c r="AW4" s="1">
        <v>0.5493666560532281</v>
      </c>
      <c r="AX4" s="1">
        <v>0.62851987117820551</v>
      </c>
      <c r="AZ4" s="1">
        <v>0.88490382775306975</v>
      </c>
      <c r="BA4" s="1">
        <v>3.1438679994209316E-2</v>
      </c>
      <c r="BB4" s="1">
        <v>0.8232840149644195</v>
      </c>
      <c r="BC4" s="1">
        <v>0.94652364054172</v>
      </c>
      <c r="BE4" s="1">
        <v>0.1544232642459642</v>
      </c>
      <c r="BF4" s="1">
        <v>1.7092149363552415E-2</v>
      </c>
      <c r="BG4" s="1">
        <v>0.12092265149340146</v>
      </c>
      <c r="BH4" s="1">
        <v>0.18792387699852692</v>
      </c>
    </row>
    <row r="5" spans="1:60" x14ac:dyDescent="0.25">
      <c r="A5" t="s">
        <v>36</v>
      </c>
      <c r="B5" s="1">
        <v>8.3970000000000003E-2</v>
      </c>
      <c r="C5" s="1">
        <v>3.594E-2</v>
      </c>
      <c r="D5" s="1">
        <v>1.3999999999999999E-2</v>
      </c>
      <c r="E5" s="1">
        <v>0.158</v>
      </c>
      <c r="G5" s="1">
        <v>5.2049999999999999E-2</v>
      </c>
      <c r="H5" s="1">
        <v>4.181E-2</v>
      </c>
      <c r="I5" s="1">
        <v>0</v>
      </c>
      <c r="J5" s="1">
        <v>0.14300000000000002</v>
      </c>
      <c r="L5" s="1">
        <v>9.6850000000000006E-2</v>
      </c>
      <c r="M5" s="1">
        <v>3.9620000000000002E-2</v>
      </c>
      <c r="N5" s="1">
        <v>2.7999999999999997E-2</v>
      </c>
      <c r="O5" s="1">
        <v>0.182</v>
      </c>
      <c r="Q5" s="1">
        <v>0.15356</v>
      </c>
      <c r="R5" s="1">
        <v>4.1759999999999999E-2</v>
      </c>
      <c r="S5" s="1">
        <v>7.8E-2</v>
      </c>
      <c r="T5" s="1">
        <v>0.23899999999999999</v>
      </c>
      <c r="V5" s="1">
        <v>1.5499999999999999E-3</v>
      </c>
      <c r="W5" s="1">
        <v>5.3700000000000006E-3</v>
      </c>
      <c r="X5" s="1">
        <v>0</v>
      </c>
      <c r="Y5" s="1">
        <v>1.6E-2</v>
      </c>
      <c r="AA5" s="1">
        <v>2.5699999999999997E-2</v>
      </c>
      <c r="AB5" s="1">
        <v>3.5139999999999998E-2</v>
      </c>
      <c r="AC5" s="1">
        <v>0</v>
      </c>
      <c r="AD5" s="1">
        <v>0.12</v>
      </c>
      <c r="AF5" s="1">
        <v>4.4800000000000005E-3</v>
      </c>
      <c r="AG5" s="1">
        <v>9.7900000000000001E-3</v>
      </c>
      <c r="AH5" s="1">
        <v>0</v>
      </c>
      <c r="AI5" s="1">
        <v>3.4000000000000002E-2</v>
      </c>
      <c r="AK5" s="1">
        <v>8.1000000000000006E-4</v>
      </c>
      <c r="AL5" s="1">
        <v>2.5100000000000001E-3</v>
      </c>
      <c r="AM5" s="1">
        <v>0</v>
      </c>
      <c r="AN5" s="1">
        <v>8.0000000000000002E-3</v>
      </c>
      <c r="AP5" s="1">
        <v>8.2199999999999999E-3</v>
      </c>
      <c r="AQ5" s="1">
        <v>1.421E-2</v>
      </c>
      <c r="AR5" s="1">
        <v>0</v>
      </c>
      <c r="AS5" s="1">
        <v>0.05</v>
      </c>
      <c r="AU5" s="1">
        <v>5.7649005504463988E-2</v>
      </c>
      <c r="AV5" s="1">
        <v>1.6554335763391149E-2</v>
      </c>
      <c r="AW5" s="1">
        <v>2.5202507408217334E-2</v>
      </c>
      <c r="AX5" s="1">
        <v>9.0095503600710641E-2</v>
      </c>
      <c r="AZ5" s="1">
        <v>7.4607587047118562E-2</v>
      </c>
      <c r="BA5" s="1">
        <v>2.8204078623389729E-2</v>
      </c>
      <c r="BB5" s="1">
        <v>1.9327592945274696E-2</v>
      </c>
      <c r="BC5" s="1">
        <v>0.12988758114896243</v>
      </c>
      <c r="BE5" s="1">
        <v>2.7840624337559815E-2</v>
      </c>
      <c r="BF5" s="1">
        <v>7.01360216806506E-3</v>
      </c>
      <c r="BG5" s="1">
        <v>1.4093964088152297E-2</v>
      </c>
      <c r="BH5" s="1">
        <v>4.1587284586967331E-2</v>
      </c>
    </row>
    <row r="6" spans="1:60" x14ac:dyDescent="0.25">
      <c r="A6" t="s">
        <v>11</v>
      </c>
      <c r="B6" s="1">
        <v>1.0329999999999999E-2</v>
      </c>
      <c r="C6" s="1">
        <v>1.328E-2</v>
      </c>
      <c r="D6" s="1">
        <v>0</v>
      </c>
      <c r="E6" s="1">
        <v>4.7019999999999999E-2</v>
      </c>
      <c r="G6" s="1">
        <v>0.11158</v>
      </c>
      <c r="H6" s="1">
        <v>4.4729999999999999E-2</v>
      </c>
      <c r="I6" s="1">
        <v>3.6000000000000004E-2</v>
      </c>
      <c r="J6" s="1">
        <v>0.20800000000000002</v>
      </c>
      <c r="L6" s="1">
        <v>0.51344000000000001</v>
      </c>
      <c r="M6" s="1">
        <v>5.0659999999999997E-2</v>
      </c>
      <c r="N6" s="1">
        <v>0.41299999999999998</v>
      </c>
      <c r="O6" s="1">
        <v>0.61199999999999999</v>
      </c>
      <c r="Q6" s="1">
        <v>0.33832999999999996</v>
      </c>
      <c r="R6" s="1">
        <v>4.684E-2</v>
      </c>
      <c r="S6" s="1">
        <v>0.249</v>
      </c>
      <c r="T6" s="1">
        <v>0.43200000000000005</v>
      </c>
      <c r="V6" s="1">
        <v>0.88556000000000001</v>
      </c>
      <c r="W6" s="1">
        <v>3.662E-2</v>
      </c>
      <c r="X6" s="1">
        <v>0.79799999999999993</v>
      </c>
      <c r="Y6" s="1">
        <v>0.94200000000000006</v>
      </c>
      <c r="AA6" s="1">
        <v>0.77998999999999996</v>
      </c>
      <c r="AB6" s="1">
        <v>5.663E-2</v>
      </c>
      <c r="AC6" s="1">
        <v>0.6619799999999999</v>
      </c>
      <c r="AD6" s="1">
        <v>0.88300000000000001</v>
      </c>
      <c r="AF6" s="1">
        <v>0.96388999999999991</v>
      </c>
      <c r="AG6" s="1">
        <v>1.9570000000000001E-2</v>
      </c>
      <c r="AH6" s="1">
        <v>0.91900000000000004</v>
      </c>
      <c r="AI6" s="1">
        <v>0.99299999999999999</v>
      </c>
      <c r="AK6" s="1">
        <v>0.97140000000000004</v>
      </c>
      <c r="AL6" s="1">
        <v>1.4330000000000001E-2</v>
      </c>
      <c r="AM6" s="1">
        <v>0.93799999999999994</v>
      </c>
      <c r="AN6" s="1">
        <v>0.99299999999999999</v>
      </c>
      <c r="AP6" s="1">
        <v>0.98506000000000005</v>
      </c>
      <c r="AQ6" s="1">
        <v>1.721E-2</v>
      </c>
      <c r="AR6" s="1">
        <v>0.93799999999999994</v>
      </c>
      <c r="AS6" s="1">
        <v>1</v>
      </c>
      <c r="AU6" s="1">
        <v>0.4639941728480006</v>
      </c>
      <c r="AV6" s="1">
        <v>1.2865484934184506E-2</v>
      </c>
      <c r="AW6" s="1">
        <v>0.43877782237699897</v>
      </c>
      <c r="AX6" s="1">
        <v>0.48921052331900222</v>
      </c>
      <c r="AZ6" s="1">
        <v>4.002750349245756E-2</v>
      </c>
      <c r="BA6" s="1">
        <v>1.6130780010562635E-2</v>
      </c>
      <c r="BB6" s="1">
        <v>8.411174671754798E-3</v>
      </c>
      <c r="BC6" s="1">
        <v>7.1643832313160322E-2</v>
      </c>
      <c r="BE6" s="1">
        <v>0.81781361934501651</v>
      </c>
      <c r="BF6" s="1">
        <v>1.6640121692066186E-2</v>
      </c>
      <c r="BG6" s="1">
        <v>0.78519898082856676</v>
      </c>
      <c r="BH6" s="1">
        <v>0.85042825786146625</v>
      </c>
    </row>
    <row r="7" spans="1:60" x14ac:dyDescent="0.25">
      <c r="A7" t="s">
        <v>37</v>
      </c>
      <c r="B7" s="1">
        <v>3.6700000000000001E-3</v>
      </c>
      <c r="C7" s="1">
        <v>9.0500000000000008E-3</v>
      </c>
      <c r="D7" s="1">
        <v>0</v>
      </c>
      <c r="E7" s="1">
        <v>3.1E-2</v>
      </c>
      <c r="G7" s="1">
        <v>2.9580000000000002E-2</v>
      </c>
      <c r="H7" s="1">
        <v>3.4099999999999998E-2</v>
      </c>
      <c r="I7" s="1">
        <v>0</v>
      </c>
      <c r="J7" s="1">
        <v>0.11199999999999999</v>
      </c>
      <c r="L7" s="1">
        <v>4.4900000000000001E-3</v>
      </c>
      <c r="M7" s="1">
        <v>1.133E-2</v>
      </c>
      <c r="N7" s="1">
        <v>0</v>
      </c>
      <c r="O7" s="1">
        <v>3.9E-2</v>
      </c>
      <c r="Q7" s="1">
        <v>2.7500000000000003E-3</v>
      </c>
      <c r="R7" s="1">
        <v>7.43E-3</v>
      </c>
      <c r="S7" s="1">
        <v>0</v>
      </c>
      <c r="T7" s="1">
        <v>2.6000000000000002E-2</v>
      </c>
      <c r="V7" s="1">
        <v>0.13638999999999998</v>
      </c>
      <c r="W7" s="1">
        <v>5.2580000000000002E-2</v>
      </c>
      <c r="X7" s="1">
        <v>2.6980000000000001E-2</v>
      </c>
      <c r="Y7" s="1">
        <v>0.23899999999999999</v>
      </c>
      <c r="AA7" s="1">
        <v>5.2110000000000004E-2</v>
      </c>
      <c r="AB7" s="1">
        <v>5.9549999999999999E-2</v>
      </c>
      <c r="AC7" s="1">
        <v>0</v>
      </c>
      <c r="AD7" s="1">
        <v>0.19399999999999998</v>
      </c>
      <c r="AF7" s="1">
        <v>0.23401</v>
      </c>
      <c r="AG7" s="1">
        <v>4.6699999999999998E-2</v>
      </c>
      <c r="AH7" s="1">
        <v>0.14699999999999999</v>
      </c>
      <c r="AI7" s="1">
        <v>0.32700000000000001</v>
      </c>
      <c r="AK7" s="1">
        <v>0.34175</v>
      </c>
      <c r="AL7" s="1">
        <v>4.7660000000000001E-2</v>
      </c>
      <c r="AM7" s="1">
        <v>0.249</v>
      </c>
      <c r="AN7" s="1">
        <v>0.43799999999999994</v>
      </c>
      <c r="AP7" s="1">
        <v>0.53644999999999998</v>
      </c>
      <c r="AQ7" s="1">
        <v>5.7450000000000001E-2</v>
      </c>
      <c r="AR7" s="1">
        <v>0.42799999999999999</v>
      </c>
      <c r="AS7" s="1">
        <v>0.64900000000000002</v>
      </c>
      <c r="AU7" s="1">
        <v>9.7207870175203062E-2</v>
      </c>
      <c r="AV7" s="1">
        <v>1.4056717583657388E-2</v>
      </c>
      <c r="AW7" s="1">
        <v>6.9656703711234585E-2</v>
      </c>
      <c r="AX7" s="1">
        <v>0.12475903663917154</v>
      </c>
      <c r="AZ7" s="1">
        <v>1.126962780730445E-2</v>
      </c>
      <c r="BA7" s="1">
        <v>1.1871801183822495E-2</v>
      </c>
      <c r="BB7" s="1">
        <v>0</v>
      </c>
      <c r="BC7" s="1">
        <v>3.4538358127596536E-2</v>
      </c>
      <c r="BE7" s="1">
        <v>0.16827888834499366</v>
      </c>
      <c r="BF7" s="1">
        <v>2.2824722693181355E-2</v>
      </c>
      <c r="BG7" s="1">
        <v>0.12354243186635822</v>
      </c>
      <c r="BH7" s="1">
        <v>0.2130153448236291</v>
      </c>
    </row>
    <row r="8" spans="1:60" x14ac:dyDescent="0.25">
      <c r="A8" t="s">
        <v>38</v>
      </c>
      <c r="B8" s="1">
        <v>2.7200000000000002E-3</v>
      </c>
      <c r="C8" s="1">
        <v>7.0699999999999999E-3</v>
      </c>
      <c r="D8" s="1">
        <v>0</v>
      </c>
      <c r="E8" s="1">
        <v>2.2000000000000002E-2</v>
      </c>
      <c r="G8" s="1">
        <v>2.8410000000000001E-2</v>
      </c>
      <c r="H8" s="1">
        <v>3.1440000000000003E-2</v>
      </c>
      <c r="I8" s="1">
        <v>0</v>
      </c>
      <c r="J8" s="1">
        <v>0.106</v>
      </c>
      <c r="L8" s="1">
        <v>0.40057000000000004</v>
      </c>
      <c r="M8" s="1">
        <v>7.2520000000000001E-2</v>
      </c>
      <c r="N8" s="1">
        <v>0.26100000000000001</v>
      </c>
      <c r="O8" s="1">
        <v>0.54</v>
      </c>
      <c r="Q8" s="1">
        <v>0.22583999999999999</v>
      </c>
      <c r="R8" s="1">
        <v>5.2830000000000002E-2</v>
      </c>
      <c r="S8" s="1">
        <v>0.128</v>
      </c>
      <c r="T8" s="1">
        <v>0.33201999999999998</v>
      </c>
      <c r="V8" s="1">
        <v>0.42482999999999999</v>
      </c>
      <c r="W8" s="1">
        <v>9.1389999999999999E-2</v>
      </c>
      <c r="X8" s="1">
        <v>0.248</v>
      </c>
      <c r="Y8" s="1">
        <v>0.60599999999999998</v>
      </c>
      <c r="AA8" s="1">
        <v>0.26465</v>
      </c>
      <c r="AB8" s="1">
        <v>0.10714</v>
      </c>
      <c r="AC8" s="1">
        <v>4.8000000000000001E-2</v>
      </c>
      <c r="AD8" s="1">
        <v>0.47402</v>
      </c>
      <c r="AF8" s="1">
        <v>0.43314999999999998</v>
      </c>
      <c r="AG8" s="1">
        <v>5.7880000000000001E-2</v>
      </c>
      <c r="AH8" s="1">
        <v>0.32299999999999995</v>
      </c>
      <c r="AI8" s="1">
        <v>0.54500000000000004</v>
      </c>
      <c r="AK8" s="1">
        <v>0.28588000000000002</v>
      </c>
      <c r="AL8" s="1">
        <v>6.5090000000000009E-2</v>
      </c>
      <c r="AM8" s="1">
        <v>0.16</v>
      </c>
      <c r="AN8" s="1">
        <v>0.41700000000000004</v>
      </c>
      <c r="AP8" s="1">
        <v>0.12275999999999999</v>
      </c>
      <c r="AQ8" s="1">
        <v>5.4859999999999999E-2</v>
      </c>
      <c r="AR8" s="1">
        <v>2.7000000000000003E-2</v>
      </c>
      <c r="AS8" s="1">
        <v>0.23899999999999999</v>
      </c>
      <c r="AU8" s="1">
        <v>0.20053435916627507</v>
      </c>
      <c r="AV8" s="1">
        <v>2.189194689243025E-2</v>
      </c>
      <c r="AW8" s="1">
        <v>0.15762614325711177</v>
      </c>
      <c r="AX8" s="1">
        <v>0.24344257507543837</v>
      </c>
      <c r="AZ8" s="1">
        <v>1.0255099898481331E-2</v>
      </c>
      <c r="BA8" s="1">
        <v>1.048815779538839E-2</v>
      </c>
      <c r="BB8" s="1">
        <v>0</v>
      </c>
      <c r="BC8" s="1">
        <v>3.0811889177442577E-2</v>
      </c>
      <c r="BE8" s="1">
        <v>0.36091482661956903</v>
      </c>
      <c r="BF8" s="1">
        <v>3.9035908038556076E-2</v>
      </c>
      <c r="BG8" s="1">
        <v>0.28440444686399913</v>
      </c>
      <c r="BH8" s="1">
        <v>0.43742520637513893</v>
      </c>
    </row>
    <row r="9" spans="1:60" x14ac:dyDescent="0.25">
      <c r="A9" t="s">
        <v>39</v>
      </c>
      <c r="B9" s="1">
        <v>3.2700000000000003E-3</v>
      </c>
      <c r="C9" s="1">
        <v>6.4700000000000001E-3</v>
      </c>
      <c r="D9" s="1">
        <v>0</v>
      </c>
      <c r="E9" s="1">
        <v>2.3E-2</v>
      </c>
      <c r="G9" s="1">
        <v>3.7429999999999998E-2</v>
      </c>
      <c r="H9" s="1">
        <v>2.5619999999999997E-2</v>
      </c>
      <c r="I9" s="1">
        <v>0</v>
      </c>
      <c r="J9" s="1">
        <v>9.1999999999999998E-2</v>
      </c>
      <c r="L9" s="1">
        <v>7.8780000000000003E-2</v>
      </c>
      <c r="M9" s="1">
        <v>5.7149999999999999E-2</v>
      </c>
      <c r="N9" s="1">
        <v>0</v>
      </c>
      <c r="O9" s="1">
        <v>0.19500000000000001</v>
      </c>
      <c r="Q9" s="1">
        <v>6.1359999999999998E-2</v>
      </c>
      <c r="R9" s="1">
        <v>3.9209999999999995E-2</v>
      </c>
      <c r="S9" s="1">
        <v>0</v>
      </c>
      <c r="T9" s="1">
        <v>0.14300000000000002</v>
      </c>
      <c r="V9" s="1">
        <v>0.24299999999999999</v>
      </c>
      <c r="W9" s="1">
        <v>7.7369999999999994E-2</v>
      </c>
      <c r="X9" s="1">
        <v>0.10199999999999999</v>
      </c>
      <c r="Y9" s="1">
        <v>0.39799999999999996</v>
      </c>
      <c r="AA9" s="1">
        <v>0.25766</v>
      </c>
      <c r="AB9" s="1">
        <v>9.2280000000000001E-2</v>
      </c>
      <c r="AC9" s="1">
        <v>8.1000000000000003E-2</v>
      </c>
      <c r="AD9" s="1">
        <v>0.44601999999999997</v>
      </c>
      <c r="AF9" s="1">
        <v>8.8729999999999989E-2</v>
      </c>
      <c r="AG9" s="1">
        <v>4.641E-2</v>
      </c>
      <c r="AH9" s="1">
        <v>3.0000000000000001E-3</v>
      </c>
      <c r="AI9" s="1">
        <v>0.188</v>
      </c>
      <c r="AK9" s="1">
        <v>0.22964999999999999</v>
      </c>
      <c r="AL9" s="1">
        <v>5.9839999999999997E-2</v>
      </c>
      <c r="AM9" s="1">
        <v>0.12</v>
      </c>
      <c r="AN9" s="1">
        <v>0.35100000000000003</v>
      </c>
      <c r="AP9" s="1">
        <v>0.16874</v>
      </c>
      <c r="AQ9" s="1">
        <v>6.0749999999999998E-2</v>
      </c>
      <c r="AR9" s="1">
        <v>6.0999999999999999E-2</v>
      </c>
      <c r="AS9" s="1">
        <v>0.29499999999999998</v>
      </c>
      <c r="AU9" s="1">
        <v>0.10417781918059564</v>
      </c>
      <c r="AV9" s="1">
        <v>1.8512402708072022E-2</v>
      </c>
      <c r="AW9" s="1">
        <v>6.7893509872774482E-2</v>
      </c>
      <c r="AX9" s="1">
        <v>0.1404621284884168</v>
      </c>
      <c r="AZ9" s="1">
        <v>1.3289424388171361E-2</v>
      </c>
      <c r="BA9" s="1">
        <v>8.7962832281218272E-3</v>
      </c>
      <c r="BB9" s="1">
        <v>0</v>
      </c>
      <c r="BC9" s="1">
        <v>3.0530139515290142E-2</v>
      </c>
      <c r="BE9" s="1">
        <v>0.17906104346644711</v>
      </c>
      <c r="BF9" s="1">
        <v>3.3031631858644502E-2</v>
      </c>
      <c r="BG9" s="1">
        <v>0.11431904502350389</v>
      </c>
      <c r="BH9" s="1">
        <v>0.24380304190939034</v>
      </c>
    </row>
    <row r="10" spans="1:60" x14ac:dyDescent="0.25">
      <c r="A10" t="s">
        <v>14</v>
      </c>
      <c r="B10" s="1">
        <v>8.699999999999999E-4</v>
      </c>
      <c r="C10" s="1">
        <v>3.29E-3</v>
      </c>
      <c r="D10" s="1">
        <v>0</v>
      </c>
      <c r="E10" s="1">
        <v>0.01</v>
      </c>
      <c r="G10" s="1">
        <v>1.115E-2</v>
      </c>
      <c r="H10" s="1">
        <v>1.8329999999999999E-2</v>
      </c>
      <c r="I10" s="1">
        <v>0</v>
      </c>
      <c r="J10" s="1">
        <v>6.0999999999999999E-2</v>
      </c>
      <c r="L10" s="1">
        <v>6.3719999999999999E-2</v>
      </c>
      <c r="M10" s="1">
        <v>5.4560000000000004E-2</v>
      </c>
      <c r="N10" s="1">
        <v>0</v>
      </c>
      <c r="O10" s="1">
        <v>0.17100000000000001</v>
      </c>
      <c r="Q10" s="1">
        <v>4.8300000000000001E-3</v>
      </c>
      <c r="R10" s="1">
        <v>1.472E-2</v>
      </c>
      <c r="S10" s="1">
        <v>0</v>
      </c>
      <c r="T10" s="1">
        <v>5.4000000000000006E-2</v>
      </c>
      <c r="V10" s="1">
        <v>2.545E-2</v>
      </c>
      <c r="W10" s="1">
        <v>4.3810000000000002E-2</v>
      </c>
      <c r="X10" s="1">
        <v>0</v>
      </c>
      <c r="Y10" s="1">
        <v>0.14800000000000002</v>
      </c>
      <c r="AA10" s="1">
        <v>3.31E-3</v>
      </c>
      <c r="AB10" s="1">
        <v>1.4459999999999999E-2</v>
      </c>
      <c r="AC10" s="1">
        <v>0</v>
      </c>
      <c r="AD10" s="1">
        <v>4.0999999999999995E-2</v>
      </c>
      <c r="AF10" s="1">
        <v>1.1100000000000001E-3</v>
      </c>
      <c r="AG10" s="1">
        <v>4.6700000000000005E-3</v>
      </c>
      <c r="AH10" s="1">
        <v>0</v>
      </c>
      <c r="AI10" s="1">
        <v>1.3000000000000001E-2</v>
      </c>
      <c r="AK10" s="1">
        <v>2.1099999999999997E-2</v>
      </c>
      <c r="AL10" s="1">
        <v>3.7699999999999997E-2</v>
      </c>
      <c r="AM10" s="1">
        <v>0</v>
      </c>
      <c r="AN10" s="1">
        <v>0.12801999999999999</v>
      </c>
      <c r="AP10" s="1">
        <v>3.0720000000000001E-2</v>
      </c>
      <c r="AQ10" s="1">
        <v>5.1929999999999997E-2</v>
      </c>
      <c r="AR10" s="1">
        <v>0</v>
      </c>
      <c r="AS10" s="1">
        <v>0.17199999999999999</v>
      </c>
      <c r="AU10" s="1">
        <v>1.4638938824371794E-2</v>
      </c>
      <c r="AV10" s="1">
        <v>1.0760390229774963E-2</v>
      </c>
      <c r="AW10" s="1">
        <v>0</v>
      </c>
      <c r="AX10" s="1">
        <v>3.572930367473072E-2</v>
      </c>
      <c r="AZ10" s="1">
        <v>3.8852131940984077E-3</v>
      </c>
      <c r="BA10" s="1">
        <v>5.8575430392727524E-3</v>
      </c>
      <c r="BB10" s="1">
        <v>0</v>
      </c>
      <c r="BC10" s="1">
        <v>1.5365997551073002E-2</v>
      </c>
      <c r="BE10" s="1">
        <v>2.3023836262416539E-2</v>
      </c>
      <c r="BF10" s="1">
        <v>1.8959472350884837E-2</v>
      </c>
      <c r="BG10" s="1">
        <v>0</v>
      </c>
      <c r="BH10" s="1">
        <v>6.0184402070150821E-2</v>
      </c>
    </row>
    <row r="11" spans="1:60" x14ac:dyDescent="0.25">
      <c r="A11" t="s">
        <v>15</v>
      </c>
      <c r="B11" s="1">
        <v>2.49E-3</v>
      </c>
      <c r="C11" s="1">
        <v>5.6999999999999993E-3</v>
      </c>
      <c r="D11" s="1">
        <v>0</v>
      </c>
      <c r="E11" s="1">
        <v>0.02</v>
      </c>
      <c r="G11" s="1">
        <v>2.6339999999999999E-2</v>
      </c>
      <c r="H11" s="1">
        <v>2.5849999999999998E-2</v>
      </c>
      <c r="I11" s="1">
        <v>0</v>
      </c>
      <c r="J11" s="1">
        <v>8.5999999999999993E-2</v>
      </c>
      <c r="L11" s="1">
        <v>1.5109999999999998E-2</v>
      </c>
      <c r="M11" s="1">
        <v>2.281E-2</v>
      </c>
      <c r="N11" s="1">
        <v>0</v>
      </c>
      <c r="O11" s="1">
        <v>7.9000000000000001E-2</v>
      </c>
      <c r="Q11" s="1">
        <v>5.6590000000000001E-2</v>
      </c>
      <c r="R11" s="1">
        <v>3.9740000000000004E-2</v>
      </c>
      <c r="S11" s="1">
        <v>0</v>
      </c>
      <c r="T11" s="1">
        <v>0.13699999999999998</v>
      </c>
      <c r="V11" s="1">
        <v>0.21756</v>
      </c>
      <c r="W11" s="1">
        <v>6.8269999999999997E-2</v>
      </c>
      <c r="X11" s="1">
        <v>0.09</v>
      </c>
      <c r="Y11" s="1">
        <v>0.35799999999999998</v>
      </c>
      <c r="AA11" s="1">
        <v>0.25440999999999997</v>
      </c>
      <c r="AB11" s="1">
        <v>9.2349999999999988E-2</v>
      </c>
      <c r="AC11" s="1">
        <v>7.7979999999999994E-2</v>
      </c>
      <c r="AD11" s="1">
        <v>0.44400000000000001</v>
      </c>
      <c r="AF11" s="1">
        <v>8.77E-2</v>
      </c>
      <c r="AG11" s="1">
        <v>4.6460000000000001E-2</v>
      </c>
      <c r="AH11" s="1">
        <v>2E-3</v>
      </c>
      <c r="AI11" s="1">
        <v>0.187</v>
      </c>
      <c r="AK11" s="1">
        <v>0.20858000000000002</v>
      </c>
      <c r="AL11" s="1">
        <v>6.3369999999999996E-2</v>
      </c>
      <c r="AM11" s="1">
        <v>8.900000000000001E-2</v>
      </c>
      <c r="AN11" s="1">
        <v>0.33500000000000002</v>
      </c>
      <c r="AP11" s="1">
        <v>0.13802</v>
      </c>
      <c r="AQ11" s="1">
        <v>6.6570000000000004E-2</v>
      </c>
      <c r="AR11" s="1">
        <v>6.0000000000000001E-3</v>
      </c>
      <c r="AS11" s="1">
        <v>0.27202000000000004</v>
      </c>
      <c r="AU11" s="1">
        <v>8.960448448792821E-2</v>
      </c>
      <c r="AV11" s="1">
        <v>1.6626838286604832E-2</v>
      </c>
      <c r="AW11" s="1">
        <v>5.7015881446182741E-2</v>
      </c>
      <c r="AX11" s="1">
        <v>0.12219308752967367</v>
      </c>
      <c r="AZ11" s="1">
        <v>9.4854119337788919E-3</v>
      </c>
      <c r="BA11" s="1">
        <v>8.5856324372683458E-3</v>
      </c>
      <c r="BB11" s="1">
        <v>0</v>
      </c>
      <c r="BC11" s="1">
        <v>2.631325151082485E-2</v>
      </c>
      <c r="BE11" s="1">
        <v>0.15607281155689778</v>
      </c>
      <c r="BF11" s="1">
        <v>2.9452762353936155E-2</v>
      </c>
      <c r="BG11" s="1">
        <v>9.8345397343182928E-2</v>
      </c>
      <c r="BH11" s="1">
        <v>0.21380022577061264</v>
      </c>
    </row>
    <row r="12" spans="1:60" x14ac:dyDescent="0.25">
      <c r="A12" t="s">
        <v>40</v>
      </c>
      <c r="B12" s="1">
        <v>1.16E-3</v>
      </c>
      <c r="C12" s="1">
        <v>2.9199999999999999E-3</v>
      </c>
      <c r="D12" s="1">
        <v>0</v>
      </c>
      <c r="E12" s="1">
        <v>0.01</v>
      </c>
      <c r="G12" s="1">
        <v>1.6060000000000001E-2</v>
      </c>
      <c r="H12" s="1">
        <v>1.11E-2</v>
      </c>
      <c r="I12" s="1">
        <v>1E-3</v>
      </c>
      <c r="J12" s="1">
        <v>4.3019999999999996E-2</v>
      </c>
      <c r="L12" s="1">
        <v>2.9559999999999999E-2</v>
      </c>
      <c r="M12" s="1">
        <v>1.6080000000000001E-2</v>
      </c>
      <c r="N12" s="1">
        <v>6.0000000000000001E-3</v>
      </c>
      <c r="O12" s="1">
        <v>6.9000000000000006E-2</v>
      </c>
      <c r="Q12" s="1">
        <v>4.836E-2</v>
      </c>
      <c r="R12" s="1">
        <v>2.2259999999999999E-2</v>
      </c>
      <c r="S12" s="1">
        <v>1.3999999999999999E-2</v>
      </c>
      <c r="T12" s="1">
        <v>9.9000000000000005E-2</v>
      </c>
      <c r="V12" s="1">
        <v>8.1119999999999998E-2</v>
      </c>
      <c r="W12" s="1">
        <v>2.8580000000000001E-2</v>
      </c>
      <c r="X12" s="1">
        <v>3.2000000000000001E-2</v>
      </c>
      <c r="Y12" s="1">
        <v>0.14199999999999999</v>
      </c>
      <c r="AA12" s="1">
        <v>0.20544000000000001</v>
      </c>
      <c r="AB12" s="1">
        <v>4.2519999999999995E-2</v>
      </c>
      <c r="AC12" s="1">
        <v>0.128</v>
      </c>
      <c r="AD12" s="1">
        <v>0.29399999999999998</v>
      </c>
      <c r="AF12" s="1">
        <v>0.2079</v>
      </c>
      <c r="AG12" s="1">
        <v>3.5830000000000001E-2</v>
      </c>
      <c r="AH12" s="1">
        <v>0.14099999999999999</v>
      </c>
      <c r="AI12" s="1">
        <v>0.28199999999999997</v>
      </c>
      <c r="AK12" s="1">
        <v>0.11391</v>
      </c>
      <c r="AL12" s="1">
        <v>2.589E-2</v>
      </c>
      <c r="AM12" s="1">
        <v>6.9000000000000006E-2</v>
      </c>
      <c r="AN12" s="1">
        <v>0.16899999999999998</v>
      </c>
      <c r="AP12" s="1">
        <v>0.157</v>
      </c>
      <c r="AQ12" s="1">
        <v>3.6520000000000004E-2</v>
      </c>
      <c r="AR12" s="1">
        <v>9.1999999999999998E-2</v>
      </c>
      <c r="AS12" s="1">
        <v>0.23501999999999998</v>
      </c>
      <c r="AU12" s="1">
        <v>6.2174859395627759E-2</v>
      </c>
      <c r="AV12" s="1">
        <v>7.5845163754396875E-3</v>
      </c>
      <c r="AW12" s="1">
        <v>4.7309207299765968E-2</v>
      </c>
      <c r="AX12" s="1">
        <v>7.7040511491489549E-2</v>
      </c>
      <c r="AZ12" s="1">
        <v>5.5302992793838787E-3</v>
      </c>
      <c r="BA12" s="1">
        <v>3.8546005783464911E-3</v>
      </c>
      <c r="BB12" s="1">
        <v>0</v>
      </c>
      <c r="BC12" s="1">
        <v>1.3085316412943001E-2</v>
      </c>
      <c r="BE12" s="1">
        <v>0.1094098519556375</v>
      </c>
      <c r="BF12" s="1">
        <v>1.3455256765737339E-2</v>
      </c>
      <c r="BG12" s="1">
        <v>8.3037548694792324E-2</v>
      </c>
      <c r="BH12" s="1">
        <v>0.13578215521648268</v>
      </c>
    </row>
    <row r="13" spans="1:60" x14ac:dyDescent="0.25">
      <c r="A13" t="s">
        <v>17</v>
      </c>
      <c r="B13" s="1">
        <v>7.5000000000000002E-4</v>
      </c>
      <c r="C13" s="1">
        <v>2.1800000000000001E-3</v>
      </c>
      <c r="D13" s="1">
        <v>0</v>
      </c>
      <c r="E13" s="1">
        <v>6.9999999999999993E-3</v>
      </c>
      <c r="G13" s="1">
        <v>1.5529999999999999E-2</v>
      </c>
      <c r="H13" s="1">
        <v>1.0740000000000001E-2</v>
      </c>
      <c r="I13" s="1">
        <v>1E-3</v>
      </c>
      <c r="J13" s="1">
        <v>4.2020000000000002E-2</v>
      </c>
      <c r="L13" s="1">
        <v>2.6150000000000003E-2</v>
      </c>
      <c r="M13" s="1">
        <v>1.359E-2</v>
      </c>
      <c r="N13" s="1">
        <v>6.0000000000000001E-3</v>
      </c>
      <c r="O13" s="1">
        <v>5.7999999999999996E-2</v>
      </c>
      <c r="Q13" s="1">
        <v>4.0079999999999998E-2</v>
      </c>
      <c r="R13" s="1">
        <v>1.8100000000000002E-2</v>
      </c>
      <c r="S13" s="1">
        <v>1.1000000000000001E-2</v>
      </c>
      <c r="T13" s="1">
        <v>0.08</v>
      </c>
      <c r="V13" s="1">
        <v>8.0090000000000008E-2</v>
      </c>
      <c r="W13" s="1">
        <v>2.8229999999999998E-2</v>
      </c>
      <c r="X13" s="1">
        <v>3.2000000000000001E-2</v>
      </c>
      <c r="Y13" s="1">
        <v>0.14000000000000001</v>
      </c>
      <c r="AA13" s="1">
        <v>0.20234000000000002</v>
      </c>
      <c r="AB13" s="1">
        <v>4.1159999999999995E-2</v>
      </c>
      <c r="AC13" s="1">
        <v>0.127</v>
      </c>
      <c r="AD13" s="1">
        <v>0.28800000000000003</v>
      </c>
      <c r="AF13" s="1">
        <v>0.18690000000000001</v>
      </c>
      <c r="AG13" s="1">
        <v>3.1579999999999997E-2</v>
      </c>
      <c r="AH13" s="1">
        <v>0.129</v>
      </c>
      <c r="AI13" s="1">
        <v>0.25102000000000002</v>
      </c>
      <c r="AK13" s="1">
        <v>0.11341</v>
      </c>
      <c r="AL13" s="1">
        <v>2.5729999999999999E-2</v>
      </c>
      <c r="AM13" s="1">
        <v>6.8000000000000005E-2</v>
      </c>
      <c r="AN13" s="1">
        <v>0.16800000000000001</v>
      </c>
      <c r="AP13" s="1">
        <v>0.1535</v>
      </c>
      <c r="AQ13" s="1">
        <v>3.517E-2</v>
      </c>
      <c r="AR13" s="1">
        <v>0.09</v>
      </c>
      <c r="AS13" s="1">
        <v>0.22899999999999998</v>
      </c>
      <c r="AU13" s="1">
        <v>5.9093941464724443E-2</v>
      </c>
      <c r="AV13" s="1">
        <v>7.2712509645533373E-3</v>
      </c>
      <c r="AW13" s="1">
        <v>4.4842289574199903E-2</v>
      </c>
      <c r="AX13" s="1">
        <v>7.3345593355248984E-2</v>
      </c>
      <c r="AZ13" s="1">
        <v>5.0851022382076318E-3</v>
      </c>
      <c r="BA13" s="1">
        <v>3.5066736735671548E-3</v>
      </c>
      <c r="BB13" s="1">
        <v>0</v>
      </c>
      <c r="BC13" s="1">
        <v>1.1958182638399255E-2</v>
      </c>
      <c r="BE13" s="1">
        <v>0.1041696424430483</v>
      </c>
      <c r="BF13" s="1">
        <v>1.2958500113088888E-2</v>
      </c>
      <c r="BG13" s="1">
        <v>7.8770982221394087E-2</v>
      </c>
      <c r="BH13" s="1">
        <v>0.12956830266470251</v>
      </c>
    </row>
    <row r="14" spans="1:60" x14ac:dyDescent="0.25">
      <c r="A14" t="s">
        <v>18</v>
      </c>
      <c r="B14" s="1">
        <v>4.6999999999999999E-4</v>
      </c>
      <c r="C14" s="1">
        <v>1.89E-3</v>
      </c>
      <c r="D14" s="1">
        <v>0</v>
      </c>
      <c r="E14" s="1">
        <v>5.0000000000000001E-3</v>
      </c>
      <c r="G14" s="1">
        <v>5.9999999999999995E-4</v>
      </c>
      <c r="H14" s="1">
        <v>2.8699999999999997E-3</v>
      </c>
      <c r="I14" s="1">
        <v>0</v>
      </c>
      <c r="J14" s="1">
        <v>6.0000000000000001E-3</v>
      </c>
      <c r="L14" s="1">
        <v>3.4499999999999999E-3</v>
      </c>
      <c r="M14" s="1">
        <v>9.0399999999999994E-3</v>
      </c>
      <c r="N14" s="1">
        <v>0</v>
      </c>
      <c r="O14" s="1">
        <v>3.3000000000000002E-2</v>
      </c>
      <c r="Q14" s="1">
        <v>8.26E-3</v>
      </c>
      <c r="R14" s="1">
        <v>1.2540000000000001E-2</v>
      </c>
      <c r="S14" s="1">
        <v>0</v>
      </c>
      <c r="T14" s="1">
        <v>4.2999999999999997E-2</v>
      </c>
      <c r="V14" s="1">
        <v>1.1100000000000001E-3</v>
      </c>
      <c r="W14" s="1">
        <v>4.5500000000000002E-3</v>
      </c>
      <c r="X14" s="1">
        <v>0</v>
      </c>
      <c r="Y14" s="1">
        <v>1.3000000000000001E-2</v>
      </c>
      <c r="AA14" s="1">
        <v>3.15E-3</v>
      </c>
      <c r="AB14" s="1">
        <v>1.018E-2</v>
      </c>
      <c r="AC14" s="1">
        <v>0</v>
      </c>
      <c r="AD14" s="1">
        <v>3.6000000000000004E-2</v>
      </c>
      <c r="AF14" s="1">
        <v>2.0950000000000003E-2</v>
      </c>
      <c r="AG14" s="1">
        <v>1.8950000000000002E-2</v>
      </c>
      <c r="AH14" s="1">
        <v>0</v>
      </c>
      <c r="AI14" s="1">
        <v>6.6020000000000009E-2</v>
      </c>
      <c r="AK14" s="1">
        <v>5.6999999999999998E-4</v>
      </c>
      <c r="AL14" s="1">
        <v>2.3799999999999997E-3</v>
      </c>
      <c r="AM14" s="1">
        <v>0</v>
      </c>
      <c r="AN14" s="1">
        <v>6.0000000000000001E-3</v>
      </c>
      <c r="AP14" s="1">
        <v>3.5499999999999998E-3</v>
      </c>
      <c r="AQ14" s="1">
        <v>1.0200000000000001E-2</v>
      </c>
      <c r="AR14" s="1">
        <v>0</v>
      </c>
      <c r="AS14" s="1">
        <v>3.7999999999999999E-2</v>
      </c>
      <c r="AU14" s="1">
        <v>3.1393474189434114E-3</v>
      </c>
      <c r="AV14" s="1">
        <v>2.2763960994801576E-3</v>
      </c>
      <c r="AW14" s="1">
        <v>0</v>
      </c>
      <c r="AX14" s="1">
        <v>7.6010837739245198E-3</v>
      </c>
      <c r="AZ14" s="1">
        <v>5.081301279409331E-4</v>
      </c>
      <c r="BA14" s="1">
        <v>1.5787882010431346E-3</v>
      </c>
      <c r="BB14" s="1">
        <v>0</v>
      </c>
      <c r="BC14" s="1">
        <v>3.6025550019854772E-3</v>
      </c>
      <c r="BE14" s="1">
        <v>5.2818647470852641E-3</v>
      </c>
      <c r="BF14" s="1">
        <v>3.8747414294845626E-3</v>
      </c>
      <c r="BG14" s="1">
        <v>0</v>
      </c>
      <c r="BH14" s="1">
        <v>1.2876357948875008E-2</v>
      </c>
    </row>
    <row r="15" spans="1:60" x14ac:dyDescent="0.25">
      <c r="A15" t="s">
        <v>41</v>
      </c>
      <c r="B15" s="1">
        <v>6.2300000000000003E-3</v>
      </c>
      <c r="C15" s="1">
        <v>1.1379999999999999E-2</v>
      </c>
      <c r="D15" s="1">
        <v>0</v>
      </c>
      <c r="E15" s="1">
        <v>0.04</v>
      </c>
      <c r="G15" s="1">
        <v>5.7939999999999998E-2</v>
      </c>
      <c r="H15" s="1">
        <v>4.4690000000000001E-2</v>
      </c>
      <c r="I15" s="1">
        <v>0</v>
      </c>
      <c r="J15" s="1">
        <v>0.16</v>
      </c>
      <c r="L15" s="1">
        <v>0.40494000000000002</v>
      </c>
      <c r="M15" s="1">
        <v>7.2859999999999994E-2</v>
      </c>
      <c r="N15" s="1">
        <v>0.26500000000000001</v>
      </c>
      <c r="O15" s="1">
        <v>0.54500000000000004</v>
      </c>
      <c r="Q15" s="1">
        <v>0.22846</v>
      </c>
      <c r="R15" s="1">
        <v>5.3040000000000004E-2</v>
      </c>
      <c r="S15" s="1">
        <v>0.129</v>
      </c>
      <c r="T15" s="1">
        <v>0.33799999999999997</v>
      </c>
      <c r="V15" s="1">
        <v>0.56125999999999998</v>
      </c>
      <c r="W15" s="1">
        <v>7.9839999999999994E-2</v>
      </c>
      <c r="X15" s="1">
        <v>0.39899999999999997</v>
      </c>
      <c r="Y15" s="1">
        <v>0.71</v>
      </c>
      <c r="AA15" s="1">
        <v>0.31672999999999996</v>
      </c>
      <c r="AB15" s="1">
        <v>0.10439999999999999</v>
      </c>
      <c r="AC15" s="1">
        <v>0.11199999999999999</v>
      </c>
      <c r="AD15" s="1">
        <v>0.52601999999999993</v>
      </c>
      <c r="AF15" s="1">
        <v>0.66709000000000007</v>
      </c>
      <c r="AG15" s="1">
        <v>5.4139999999999994E-2</v>
      </c>
      <c r="AH15" s="1">
        <v>0.55600000000000005</v>
      </c>
      <c r="AI15" s="1">
        <v>0.76800000000000002</v>
      </c>
      <c r="AK15" s="1">
        <v>0.62768000000000002</v>
      </c>
      <c r="AL15" s="1">
        <v>6.2039999999999998E-2</v>
      </c>
      <c r="AM15" s="1">
        <v>0.503</v>
      </c>
      <c r="AN15" s="1">
        <v>0.74299999999999999</v>
      </c>
      <c r="AP15" s="1">
        <v>0.65921000000000007</v>
      </c>
      <c r="AQ15" s="1">
        <v>6.5560000000000007E-2</v>
      </c>
      <c r="AR15" s="1">
        <v>0.52700000000000002</v>
      </c>
      <c r="AS15" s="1">
        <v>0.78500000000000003</v>
      </c>
      <c r="AU15" s="1">
        <v>0.29766029622854717</v>
      </c>
      <c r="AV15" s="1">
        <v>2.0824707796195257E-2</v>
      </c>
      <c r="AW15" s="1">
        <v>0.25684386894800448</v>
      </c>
      <c r="AX15" s="1">
        <v>0.33847672350908986</v>
      </c>
      <c r="AZ15" s="1">
        <v>2.1396991660197338E-2</v>
      </c>
      <c r="BA15" s="1">
        <v>1.5378389789046668E-2</v>
      </c>
      <c r="BB15" s="1">
        <v>0</v>
      </c>
      <c r="BC15" s="1">
        <v>5.1538635646728809E-2</v>
      </c>
      <c r="BE15" s="1">
        <v>0.52917713586272275</v>
      </c>
      <c r="BF15" s="1">
        <v>3.5002128987797546E-2</v>
      </c>
      <c r="BG15" s="1">
        <v>0.46057296304663953</v>
      </c>
      <c r="BH15" s="1">
        <v>0.59778130867880597</v>
      </c>
    </row>
    <row r="16" spans="1:60" x14ac:dyDescent="0.25">
      <c r="A16" t="s">
        <v>42</v>
      </c>
      <c r="B16" s="1">
        <v>0.99575999999999998</v>
      </c>
      <c r="C16" s="1">
        <v>7.0599999999999994E-3</v>
      </c>
      <c r="D16" s="1">
        <v>0.97499999999999998</v>
      </c>
      <c r="E16" s="1">
        <v>1</v>
      </c>
      <c r="G16" s="1">
        <v>0.94644000000000006</v>
      </c>
      <c r="H16" s="1">
        <v>2.7690000000000003E-2</v>
      </c>
      <c r="I16" s="1">
        <v>0.88700000000000001</v>
      </c>
      <c r="J16" s="1">
        <v>0.99199999999999999</v>
      </c>
      <c r="L16" s="1">
        <v>0.89159999999999995</v>
      </c>
      <c r="M16" s="1">
        <v>5.8979999999999998E-2</v>
      </c>
      <c r="N16" s="1">
        <v>0.77099999999999991</v>
      </c>
      <c r="O16" s="1">
        <v>0.9840000000000001</v>
      </c>
      <c r="Q16" s="1">
        <v>0.89022000000000001</v>
      </c>
      <c r="R16" s="1">
        <v>3.9390000000000001E-2</v>
      </c>
      <c r="S16" s="1">
        <v>0.80700000000000005</v>
      </c>
      <c r="T16" s="1">
        <v>0.96099999999999997</v>
      </c>
      <c r="V16" s="1">
        <v>0.67581999999999998</v>
      </c>
      <c r="W16" s="1">
        <v>8.0239999999999992E-2</v>
      </c>
      <c r="X16" s="1">
        <v>0.51500000000000001</v>
      </c>
      <c r="Y16" s="1">
        <v>0.82400000000000007</v>
      </c>
      <c r="AA16" s="1">
        <v>0.53685000000000005</v>
      </c>
      <c r="AB16" s="1">
        <v>9.4979999999999995E-2</v>
      </c>
      <c r="AC16" s="1">
        <v>0.34899999999999998</v>
      </c>
      <c r="AD16" s="1">
        <v>0.72402</v>
      </c>
      <c r="AF16" s="1">
        <v>0.70330999999999999</v>
      </c>
      <c r="AG16" s="1">
        <v>5.2049999999999999E-2</v>
      </c>
      <c r="AH16" s="1">
        <v>0.59599999999999997</v>
      </c>
      <c r="AI16" s="1">
        <v>0.79802000000000006</v>
      </c>
      <c r="AK16" s="1">
        <v>0.65638000000000007</v>
      </c>
      <c r="AL16" s="1">
        <v>6.1940000000000002E-2</v>
      </c>
      <c r="AM16" s="1">
        <v>0.53299999999999992</v>
      </c>
      <c r="AN16" s="1">
        <v>0.77201999999999993</v>
      </c>
      <c r="AP16" s="1">
        <v>0.67421000000000009</v>
      </c>
      <c r="AQ16" s="1">
        <v>6.4420000000000005E-2</v>
      </c>
      <c r="AR16" s="1">
        <v>0.54298000000000002</v>
      </c>
      <c r="AS16" s="1">
        <v>0.79500000000000004</v>
      </c>
      <c r="AU16" s="1">
        <v>0.94448874003154981</v>
      </c>
      <c r="AV16" s="1">
        <v>1.9324956676034014E-2</v>
      </c>
      <c r="AW16" s="1">
        <v>0.90661182494652315</v>
      </c>
      <c r="AX16" s="1">
        <v>0.98236565511657647</v>
      </c>
      <c r="AZ16" s="1">
        <v>0.98129401607656286</v>
      </c>
      <c r="BA16" s="1">
        <v>9.5317791788778142E-3</v>
      </c>
      <c r="BB16" s="1">
        <v>0.96261172888596236</v>
      </c>
      <c r="BC16" s="1">
        <v>0.99997630326716336</v>
      </c>
      <c r="BE16" s="1">
        <v>0.7114703741503654</v>
      </c>
      <c r="BF16" s="1">
        <v>3.4374895239481132E-2</v>
      </c>
      <c r="BG16" s="1">
        <v>0.64409557948098239</v>
      </c>
      <c r="BH16" s="1">
        <v>0.77884516881974841</v>
      </c>
    </row>
    <row r="17" spans="1:60" x14ac:dyDescent="0.25">
      <c r="A17" t="s">
        <v>21</v>
      </c>
      <c r="B17" s="1">
        <v>4.2399999999999998E-3</v>
      </c>
      <c r="C17" s="1">
        <v>7.0699999999999999E-3</v>
      </c>
      <c r="D17" s="1">
        <v>0</v>
      </c>
      <c r="E17" s="1">
        <v>2.4E-2</v>
      </c>
      <c r="G17" s="1">
        <v>5.3559999999999997E-2</v>
      </c>
      <c r="H17" s="1">
        <v>2.767E-2</v>
      </c>
      <c r="I17" s="1">
        <v>8.0000000000000002E-3</v>
      </c>
      <c r="J17" s="1">
        <v>0.113</v>
      </c>
      <c r="L17" s="1">
        <v>0.1084</v>
      </c>
      <c r="M17" s="1">
        <v>5.8990000000000001E-2</v>
      </c>
      <c r="N17" s="1">
        <v>1.6E-2</v>
      </c>
      <c r="O17" s="1">
        <v>0.22899999999999998</v>
      </c>
      <c r="Q17" s="1">
        <v>0.10978</v>
      </c>
      <c r="R17" s="1">
        <v>3.9390000000000001E-2</v>
      </c>
      <c r="S17" s="1">
        <v>3.9E-2</v>
      </c>
      <c r="T17" s="1">
        <v>0.19202000000000002</v>
      </c>
      <c r="V17" s="1">
        <v>0.32417999999999997</v>
      </c>
      <c r="W17" s="1">
        <v>8.0229999999999996E-2</v>
      </c>
      <c r="X17" s="1">
        <v>0.17600000000000002</v>
      </c>
      <c r="Y17" s="1">
        <v>0.48499999999999999</v>
      </c>
      <c r="AA17" s="1">
        <v>0.46314999999999995</v>
      </c>
      <c r="AB17" s="1">
        <v>9.4979999999999995E-2</v>
      </c>
      <c r="AC17" s="1">
        <v>0.27598</v>
      </c>
      <c r="AD17" s="1">
        <v>0.65099999999999991</v>
      </c>
      <c r="AF17" s="1">
        <v>0.29669000000000001</v>
      </c>
      <c r="AG17" s="1">
        <v>5.2060000000000002E-2</v>
      </c>
      <c r="AH17" s="1">
        <v>0.20100000000000001</v>
      </c>
      <c r="AI17" s="1">
        <v>0.40399999999999997</v>
      </c>
      <c r="AK17" s="1">
        <v>0.34362000000000004</v>
      </c>
      <c r="AL17" s="1">
        <v>6.1940000000000002E-2</v>
      </c>
      <c r="AM17" s="1">
        <v>0.22699999999999998</v>
      </c>
      <c r="AN17" s="1">
        <v>0.46601999999999999</v>
      </c>
      <c r="AP17" s="1">
        <v>0.32579000000000002</v>
      </c>
      <c r="AQ17" s="1">
        <v>6.4420000000000005E-2</v>
      </c>
      <c r="AR17" s="1">
        <v>0.20499999999999999</v>
      </c>
      <c r="AS17" s="1">
        <v>0.45700000000000002</v>
      </c>
      <c r="AU17" s="1">
        <v>0.16631936450851398</v>
      </c>
      <c r="AV17" s="1">
        <v>1.9323353052526658E-2</v>
      </c>
      <c r="AW17" s="1">
        <v>0.12844559252556173</v>
      </c>
      <c r="AX17" s="1">
        <v>0.20419313649146623</v>
      </c>
      <c r="AZ17" s="1">
        <v>1.8705983923437107E-2</v>
      </c>
      <c r="BA17" s="1">
        <v>9.5304841915578569E-3</v>
      </c>
      <c r="BB17" s="1">
        <v>2.6234907983709033E-5</v>
      </c>
      <c r="BC17" s="1">
        <v>3.7385732938890505E-2</v>
      </c>
      <c r="BE17" s="1">
        <v>0.28852962584963465</v>
      </c>
      <c r="BF17" s="1">
        <v>3.437219958537667E-2</v>
      </c>
      <c r="BG17" s="1">
        <v>0.22116011466229638</v>
      </c>
      <c r="BH17" s="1">
        <v>0.35589913703697296</v>
      </c>
    </row>
    <row r="18" spans="1:60" x14ac:dyDescent="0.25">
      <c r="A18" t="s">
        <v>43</v>
      </c>
      <c r="B18" s="1">
        <v>6.7900000000000009E-3</v>
      </c>
      <c r="C18" s="1">
        <v>9.8499999999999994E-3</v>
      </c>
      <c r="D18" s="1">
        <v>0</v>
      </c>
      <c r="E18" s="1">
        <v>3.4000000000000002E-2</v>
      </c>
      <c r="G18" s="1">
        <v>8.1989999999999993E-2</v>
      </c>
      <c r="H18" s="1">
        <v>3.3579999999999999E-2</v>
      </c>
      <c r="I18" s="1">
        <v>2.7000000000000003E-2</v>
      </c>
      <c r="J18" s="1">
        <v>0.157</v>
      </c>
      <c r="L18" s="1">
        <v>0.50902999999999998</v>
      </c>
      <c r="M18" s="1">
        <v>5.0450000000000002E-2</v>
      </c>
      <c r="N18" s="1">
        <v>0.40899999999999997</v>
      </c>
      <c r="O18" s="1">
        <v>0.60499999999999998</v>
      </c>
      <c r="Q18" s="1">
        <v>0.33569000000000004</v>
      </c>
      <c r="R18" s="1">
        <v>4.657E-2</v>
      </c>
      <c r="S18" s="1">
        <v>0.247</v>
      </c>
      <c r="T18" s="1">
        <v>0.42799999999999999</v>
      </c>
      <c r="V18" s="1">
        <v>0.74906000000000006</v>
      </c>
      <c r="W18" s="1">
        <v>5.5309999999999998E-2</v>
      </c>
      <c r="X18" s="1">
        <v>0.63600000000000001</v>
      </c>
      <c r="Y18" s="1">
        <v>0.85499999999999998</v>
      </c>
      <c r="AA18" s="1">
        <v>0.72787000000000002</v>
      </c>
      <c r="AB18" s="1">
        <v>7.3480000000000004E-2</v>
      </c>
      <c r="AC18" s="1">
        <v>0.57100000000000006</v>
      </c>
      <c r="AD18" s="1">
        <v>0.85502</v>
      </c>
      <c r="AF18" s="1">
        <v>0.72983999999999993</v>
      </c>
      <c r="AG18" s="1">
        <v>4.7009999999999996E-2</v>
      </c>
      <c r="AH18" s="1">
        <v>0.63600000000000001</v>
      </c>
      <c r="AI18" s="1">
        <v>0.81700000000000006</v>
      </c>
      <c r="AK18" s="1">
        <v>0.62958999999999998</v>
      </c>
      <c r="AL18" s="1">
        <v>4.827E-2</v>
      </c>
      <c r="AM18" s="1">
        <v>0.53400000000000003</v>
      </c>
      <c r="AN18" s="1">
        <v>0.72199999999999998</v>
      </c>
      <c r="AP18" s="1">
        <v>0.44862999999999997</v>
      </c>
      <c r="AQ18" s="1">
        <v>5.7060000000000007E-2</v>
      </c>
      <c r="AR18" s="1">
        <v>0.33700000000000002</v>
      </c>
      <c r="AS18" s="1">
        <v>0.55799999999999994</v>
      </c>
      <c r="AU18" s="1">
        <v>0.36681723122664517</v>
      </c>
      <c r="AV18" s="1">
        <v>1.5150961519457731E-2</v>
      </c>
      <c r="AW18" s="1">
        <v>0.33712134664850801</v>
      </c>
      <c r="AX18" s="1">
        <v>0.39651311580478232</v>
      </c>
      <c r="AZ18" s="1">
        <v>2.8846812470447493E-2</v>
      </c>
      <c r="BA18" s="1">
        <v>1.2060807500804134E-2</v>
      </c>
      <c r="BB18" s="1">
        <v>5.207629768871392E-3</v>
      </c>
      <c r="BC18" s="1">
        <v>5.2485995172023597E-2</v>
      </c>
      <c r="BE18" s="1">
        <v>0.6494978535382343</v>
      </c>
      <c r="BF18" s="1">
        <v>2.501483916266219E-2</v>
      </c>
      <c r="BG18" s="1">
        <v>0.60046876877941646</v>
      </c>
      <c r="BH18" s="1">
        <v>0.69852693829705215</v>
      </c>
    </row>
    <row r="19" spans="1:60" x14ac:dyDescent="0.25">
      <c r="A19" t="s">
        <v>44</v>
      </c>
      <c r="B19" s="1">
        <v>3.4699999999999996E-3</v>
      </c>
      <c r="C19" s="1">
        <v>6.3699999999999998E-3</v>
      </c>
      <c r="D19" s="1">
        <v>0</v>
      </c>
      <c r="E19" s="1">
        <v>2.2000000000000002E-2</v>
      </c>
      <c r="G19" s="1">
        <v>4.2419999999999999E-2</v>
      </c>
      <c r="H19" s="1">
        <v>2.7779999999999999E-2</v>
      </c>
      <c r="I19" s="1">
        <v>4.0000000000000001E-3</v>
      </c>
      <c r="J19" s="1">
        <v>0.105</v>
      </c>
      <c r="L19" s="1">
        <v>4.462E-2</v>
      </c>
      <c r="M19" s="1">
        <v>2.8029999999999999E-2</v>
      </c>
      <c r="N19" s="1">
        <v>9.0000000000000011E-3</v>
      </c>
      <c r="O19" s="1">
        <v>0.115</v>
      </c>
      <c r="Q19" s="1">
        <v>0.10499</v>
      </c>
      <c r="R19" s="1">
        <v>3.9469999999999998E-2</v>
      </c>
      <c r="S19" s="1">
        <v>3.5000000000000003E-2</v>
      </c>
      <c r="T19" s="1">
        <v>0.18600000000000003</v>
      </c>
      <c r="V19" s="1">
        <v>0.29875000000000002</v>
      </c>
      <c r="W19" s="1">
        <v>7.1529999999999996E-2</v>
      </c>
      <c r="X19" s="1">
        <v>0.16500000000000001</v>
      </c>
      <c r="Y19" s="1">
        <v>0.441</v>
      </c>
      <c r="AA19" s="1">
        <v>0.45988999999999997</v>
      </c>
      <c r="AB19" s="1">
        <v>9.5020000000000007E-2</v>
      </c>
      <c r="AC19" s="1">
        <v>0.27399999999999997</v>
      </c>
      <c r="AD19" s="1">
        <v>0.65</v>
      </c>
      <c r="AF19" s="1">
        <v>0.29564000000000001</v>
      </c>
      <c r="AG19" s="1">
        <v>5.2049999999999999E-2</v>
      </c>
      <c r="AH19" s="1">
        <v>0.2</v>
      </c>
      <c r="AI19" s="1">
        <v>0.40299999999999997</v>
      </c>
      <c r="AK19" s="1">
        <v>0.32256000000000001</v>
      </c>
      <c r="AL19" s="1">
        <v>6.6189999999999999E-2</v>
      </c>
      <c r="AM19" s="1">
        <v>0.19399999999999998</v>
      </c>
      <c r="AN19" s="1">
        <v>0.45299999999999996</v>
      </c>
      <c r="AP19" s="1">
        <v>0.29508000000000001</v>
      </c>
      <c r="AQ19" s="1">
        <v>7.1849999999999997E-2</v>
      </c>
      <c r="AR19" s="1">
        <v>0.15</v>
      </c>
      <c r="AS19" s="1">
        <v>0.43402000000000002</v>
      </c>
      <c r="AU19" s="1">
        <v>0.15173431147770247</v>
      </c>
      <c r="AV19" s="1">
        <v>1.755334962056886E-2</v>
      </c>
      <c r="AW19" s="1">
        <v>0.1173297462213875</v>
      </c>
      <c r="AX19" s="1">
        <v>0.18613887673401744</v>
      </c>
      <c r="AZ19" s="1">
        <v>1.4894372948456514E-2</v>
      </c>
      <c r="BA19" s="1">
        <v>9.3089416581134069E-3</v>
      </c>
      <c r="BB19" s="1">
        <v>0</v>
      </c>
      <c r="BC19" s="1">
        <v>3.3139898598358794E-2</v>
      </c>
      <c r="BE19" s="1">
        <v>0.26552771849895979</v>
      </c>
      <c r="BF19" s="1">
        <v>3.1012681547181651E-2</v>
      </c>
      <c r="BG19" s="1">
        <v>0.20474286266648375</v>
      </c>
      <c r="BH19" s="1">
        <v>0.32631257433143585</v>
      </c>
    </row>
    <row r="22" spans="1:60" x14ac:dyDescent="0.25">
      <c r="A22" t="s">
        <v>41</v>
      </c>
      <c r="B22" s="1">
        <v>6.2300000000000003E-3</v>
      </c>
      <c r="C22" s="1">
        <v>1.1379999999999999E-2</v>
      </c>
      <c r="D22" s="1">
        <v>0</v>
      </c>
      <c r="E22" s="1">
        <v>0.04</v>
      </c>
      <c r="G22" s="1">
        <v>5.7939999999999998E-2</v>
      </c>
      <c r="H22" s="1">
        <v>4.4690000000000001E-2</v>
      </c>
      <c r="I22" s="1">
        <v>0</v>
      </c>
      <c r="J22" s="1">
        <v>0.16</v>
      </c>
      <c r="L22" s="1">
        <v>0.40494000000000002</v>
      </c>
      <c r="M22" s="1">
        <v>7.2859999999999994E-2</v>
      </c>
      <c r="N22" s="1">
        <v>0.26500000000000001</v>
      </c>
      <c r="O22" s="1">
        <v>0.54500000000000004</v>
      </c>
      <c r="Q22" s="1">
        <v>0.22846</v>
      </c>
      <c r="R22" s="1">
        <v>5.3040000000000004E-2</v>
      </c>
      <c r="S22" s="1">
        <v>0.129</v>
      </c>
      <c r="T22" s="1">
        <v>0.33799999999999997</v>
      </c>
      <c r="V22" s="1">
        <v>0.56125999999999998</v>
      </c>
      <c r="W22" s="1">
        <v>7.9839999999999994E-2</v>
      </c>
      <c r="X22" s="1">
        <v>0.39899999999999997</v>
      </c>
      <c r="Y22" s="1">
        <v>0.71</v>
      </c>
      <c r="AA22" s="1">
        <v>0.31672999999999996</v>
      </c>
      <c r="AB22" s="1">
        <v>0.10439999999999999</v>
      </c>
      <c r="AC22" s="1">
        <v>0.11199999999999999</v>
      </c>
      <c r="AD22" s="1">
        <v>0.52601999999999993</v>
      </c>
      <c r="AF22" s="1">
        <v>0.66709000000000007</v>
      </c>
      <c r="AG22" s="1">
        <v>5.4139999999999994E-2</v>
      </c>
      <c r="AH22" s="1">
        <v>0.55600000000000005</v>
      </c>
      <c r="AI22" s="1">
        <v>0.76800000000000002</v>
      </c>
      <c r="AK22" s="1">
        <v>0.62768000000000002</v>
      </c>
      <c r="AL22" s="1">
        <v>6.2039999999999998E-2</v>
      </c>
      <c r="AM22" s="1">
        <v>0.503</v>
      </c>
      <c r="AN22" s="1">
        <v>0.74299999999999999</v>
      </c>
      <c r="AP22" s="1">
        <v>0.65921000000000007</v>
      </c>
      <c r="AQ22" s="1">
        <v>6.5560000000000007E-2</v>
      </c>
      <c r="AR22" s="1">
        <v>0.52700000000000002</v>
      </c>
      <c r="AS22" s="1">
        <v>0.78500000000000003</v>
      </c>
      <c r="AU22" s="1">
        <v>0.29766029622854717</v>
      </c>
      <c r="AV22" s="1">
        <v>2.0824707796195257E-2</v>
      </c>
      <c r="AW22" s="1">
        <v>0.25684386894800448</v>
      </c>
      <c r="AX22" s="1">
        <v>0.33847672350908986</v>
      </c>
      <c r="AZ22" s="1">
        <v>2.1396991660197338E-2</v>
      </c>
      <c r="BA22" s="1">
        <v>1.5378389789046668E-2</v>
      </c>
      <c r="BB22" s="1">
        <v>0</v>
      </c>
      <c r="BC22" s="1">
        <v>5.1538635646728809E-2</v>
      </c>
      <c r="BE22" s="1">
        <v>0.52917713586272275</v>
      </c>
      <c r="BF22" s="1">
        <v>3.5002128987797546E-2</v>
      </c>
      <c r="BG22" s="1">
        <v>0.46057296304663953</v>
      </c>
      <c r="BH22" s="1">
        <v>0.59778130867880597</v>
      </c>
    </row>
    <row r="23" spans="1:60" x14ac:dyDescent="0.25">
      <c r="A23" t="s">
        <v>44</v>
      </c>
      <c r="B23" s="1">
        <v>3.4699999999999996E-3</v>
      </c>
      <c r="C23" s="1">
        <v>6.3699999999999998E-3</v>
      </c>
      <c r="D23" s="1">
        <v>0</v>
      </c>
      <c r="E23" s="1">
        <v>2.2000000000000002E-2</v>
      </c>
      <c r="G23" s="1">
        <v>4.2419999999999999E-2</v>
      </c>
      <c r="H23" s="1">
        <v>2.7779999999999999E-2</v>
      </c>
      <c r="I23" s="1">
        <v>4.0000000000000001E-3</v>
      </c>
      <c r="J23" s="1">
        <v>0.105</v>
      </c>
      <c r="L23" s="1">
        <v>4.462E-2</v>
      </c>
      <c r="M23" s="1">
        <v>2.8029999999999999E-2</v>
      </c>
      <c r="N23" s="1">
        <v>9.0000000000000011E-3</v>
      </c>
      <c r="O23" s="1">
        <v>0.115</v>
      </c>
      <c r="Q23" s="1">
        <v>0.10499</v>
      </c>
      <c r="R23" s="1">
        <v>3.9469999999999998E-2</v>
      </c>
      <c r="S23" s="1">
        <v>3.5000000000000003E-2</v>
      </c>
      <c r="T23" s="1">
        <v>0.18600000000000003</v>
      </c>
      <c r="V23" s="1">
        <v>0.29875000000000002</v>
      </c>
      <c r="W23" s="1">
        <v>7.1529999999999996E-2</v>
      </c>
      <c r="X23" s="1">
        <v>0.16500000000000001</v>
      </c>
      <c r="Y23" s="1">
        <v>0.441</v>
      </c>
      <c r="AA23" s="1">
        <v>0.45988999999999997</v>
      </c>
      <c r="AB23" s="1">
        <v>9.5020000000000007E-2</v>
      </c>
      <c r="AC23" s="1">
        <v>0.27399999999999997</v>
      </c>
      <c r="AD23" s="1">
        <v>0.65</v>
      </c>
      <c r="AF23" s="1">
        <v>0.29564000000000001</v>
      </c>
      <c r="AG23" s="1">
        <v>5.2049999999999999E-2</v>
      </c>
      <c r="AH23" s="1">
        <v>0.2</v>
      </c>
      <c r="AI23" s="1">
        <v>0.40299999999999997</v>
      </c>
      <c r="AK23" s="1">
        <v>0.32256000000000001</v>
      </c>
      <c r="AL23" s="1">
        <v>6.6189999999999999E-2</v>
      </c>
      <c r="AM23" s="1">
        <v>0.19399999999999998</v>
      </c>
      <c r="AN23" s="1">
        <v>0.45299999999999996</v>
      </c>
      <c r="AP23" s="1">
        <v>0.29508000000000001</v>
      </c>
      <c r="AQ23" s="1">
        <v>7.1849999999999997E-2</v>
      </c>
      <c r="AR23" s="1">
        <v>0.15</v>
      </c>
      <c r="AS23" s="1">
        <v>0.43402000000000002</v>
      </c>
      <c r="AU23" s="1">
        <v>0.15173431147770247</v>
      </c>
      <c r="AV23" s="1">
        <v>1.755334962056886E-2</v>
      </c>
      <c r="AW23" s="1">
        <v>0.1173297462213875</v>
      </c>
      <c r="AX23" s="1">
        <v>0.18613887673401744</v>
      </c>
      <c r="AZ23" s="1">
        <v>1.4894372948456514E-2</v>
      </c>
      <c r="BA23" s="1">
        <v>9.3089416581134069E-3</v>
      </c>
      <c r="BB23" s="1">
        <v>0</v>
      </c>
      <c r="BC23" s="1">
        <v>3.3139898598358794E-2</v>
      </c>
      <c r="BE23" s="1">
        <v>0.26552771849895979</v>
      </c>
      <c r="BF23" s="1">
        <v>3.1012681547181651E-2</v>
      </c>
      <c r="BG23" s="1">
        <v>0.20474286266648375</v>
      </c>
      <c r="BH23" s="1">
        <v>0.32631257433143585</v>
      </c>
    </row>
    <row r="24" spans="1:60" x14ac:dyDescent="0.25">
      <c r="A24" t="s">
        <v>43</v>
      </c>
      <c r="B24" s="1">
        <v>6.7900000000000009E-3</v>
      </c>
      <c r="C24" s="1">
        <v>9.8499999999999994E-3</v>
      </c>
      <c r="D24" s="1">
        <v>0</v>
      </c>
      <c r="E24" s="1">
        <v>3.4000000000000002E-2</v>
      </c>
      <c r="G24" s="1">
        <v>8.1989999999999993E-2</v>
      </c>
      <c r="H24" s="1">
        <v>3.3579999999999999E-2</v>
      </c>
      <c r="I24" s="1">
        <v>2.7000000000000003E-2</v>
      </c>
      <c r="J24" s="1">
        <v>0.157</v>
      </c>
      <c r="L24" s="1">
        <v>0.50902999999999998</v>
      </c>
      <c r="M24" s="1">
        <v>5.0450000000000002E-2</v>
      </c>
      <c r="N24" s="1">
        <v>0.40899999999999997</v>
      </c>
      <c r="O24" s="1">
        <v>0.60499999999999998</v>
      </c>
      <c r="Q24" s="1">
        <v>0.33569000000000004</v>
      </c>
      <c r="R24" s="1">
        <v>4.657E-2</v>
      </c>
      <c r="S24" s="1">
        <v>0.247</v>
      </c>
      <c r="T24" s="1">
        <v>0.42799999999999999</v>
      </c>
      <c r="V24" s="1">
        <v>0.74906000000000006</v>
      </c>
      <c r="W24" s="1">
        <v>5.5309999999999998E-2</v>
      </c>
      <c r="X24" s="1">
        <v>0.63600000000000001</v>
      </c>
      <c r="Y24" s="1">
        <v>0.85499999999999998</v>
      </c>
      <c r="AA24" s="1">
        <v>0.72787000000000002</v>
      </c>
      <c r="AB24" s="1">
        <v>7.3480000000000004E-2</v>
      </c>
      <c r="AC24" s="1">
        <v>0.57100000000000006</v>
      </c>
      <c r="AD24" s="1">
        <v>0.85502</v>
      </c>
      <c r="AF24" s="1">
        <v>0.72983999999999993</v>
      </c>
      <c r="AG24" s="1">
        <v>4.7009999999999996E-2</v>
      </c>
      <c r="AH24" s="1">
        <v>0.63600000000000001</v>
      </c>
      <c r="AI24" s="1">
        <v>0.81700000000000006</v>
      </c>
      <c r="AK24" s="1">
        <v>0.62958999999999998</v>
      </c>
      <c r="AL24" s="1">
        <v>4.827E-2</v>
      </c>
      <c r="AM24" s="1">
        <v>0.53400000000000003</v>
      </c>
      <c r="AN24" s="1">
        <v>0.72199999999999998</v>
      </c>
      <c r="AP24" s="1">
        <v>0.44862999999999997</v>
      </c>
      <c r="AQ24" s="1">
        <v>5.7060000000000007E-2</v>
      </c>
      <c r="AR24" s="1">
        <v>0.33700000000000002</v>
      </c>
      <c r="AS24" s="1">
        <v>0.55799999999999994</v>
      </c>
      <c r="AU24" s="1">
        <v>0.36681723122664517</v>
      </c>
      <c r="AV24" s="1">
        <v>1.5150961519457731E-2</v>
      </c>
      <c r="AW24" s="1">
        <v>0.33712134664850801</v>
      </c>
      <c r="AX24" s="1">
        <v>0.39651311580478232</v>
      </c>
      <c r="AZ24" s="1">
        <v>2.8846812470447493E-2</v>
      </c>
      <c r="BA24" s="1">
        <v>1.2060807500804134E-2</v>
      </c>
      <c r="BB24" s="1">
        <v>5.207629768871392E-3</v>
      </c>
      <c r="BC24" s="1">
        <v>5.2485995172023597E-2</v>
      </c>
      <c r="BE24" s="1">
        <v>0.6494978535382343</v>
      </c>
      <c r="BF24" s="1">
        <v>2.501483916266219E-2</v>
      </c>
      <c r="BG24" s="1">
        <v>0.60046876877941646</v>
      </c>
      <c r="BH24" s="1">
        <v>0.69852693829705215</v>
      </c>
    </row>
    <row r="25" spans="1:60" x14ac:dyDescent="0.25">
      <c r="A25" t="s">
        <v>42</v>
      </c>
      <c r="B25" s="1">
        <v>0.99575999999999998</v>
      </c>
      <c r="C25" s="1">
        <v>7.0599999999999994E-3</v>
      </c>
      <c r="D25" s="1">
        <v>0.97499999999999998</v>
      </c>
      <c r="E25" s="1">
        <v>1</v>
      </c>
      <c r="G25" s="1">
        <v>0.94644000000000006</v>
      </c>
      <c r="H25" s="1">
        <v>2.7690000000000003E-2</v>
      </c>
      <c r="I25" s="1">
        <v>0.88700000000000001</v>
      </c>
      <c r="J25" s="1">
        <v>0.99199999999999999</v>
      </c>
      <c r="L25" s="1">
        <v>0.89159999999999995</v>
      </c>
      <c r="M25" s="1">
        <v>5.8979999999999998E-2</v>
      </c>
      <c r="N25" s="1">
        <v>0.77099999999999991</v>
      </c>
      <c r="O25" s="1">
        <v>0.9840000000000001</v>
      </c>
      <c r="Q25" s="1">
        <v>0.89022000000000001</v>
      </c>
      <c r="R25" s="1">
        <v>3.9390000000000001E-2</v>
      </c>
      <c r="S25" s="1">
        <v>0.80700000000000005</v>
      </c>
      <c r="T25" s="1">
        <v>0.96099999999999997</v>
      </c>
      <c r="V25" s="1">
        <v>0.67581999999999998</v>
      </c>
      <c r="W25" s="1">
        <v>8.0239999999999992E-2</v>
      </c>
      <c r="X25" s="1">
        <v>0.51500000000000001</v>
      </c>
      <c r="Y25" s="1">
        <v>0.82400000000000007</v>
      </c>
      <c r="AA25" s="1">
        <v>0.53685000000000005</v>
      </c>
      <c r="AB25" s="1">
        <v>9.4979999999999995E-2</v>
      </c>
      <c r="AC25" s="1">
        <v>0.34899999999999998</v>
      </c>
      <c r="AD25" s="1">
        <v>0.72402</v>
      </c>
      <c r="AF25" s="1">
        <v>0.70330999999999999</v>
      </c>
      <c r="AG25" s="1">
        <v>5.2049999999999999E-2</v>
      </c>
      <c r="AH25" s="1">
        <v>0.59599999999999997</v>
      </c>
      <c r="AI25" s="1">
        <v>0.79802000000000006</v>
      </c>
      <c r="AK25" s="1">
        <v>0.65638000000000007</v>
      </c>
      <c r="AL25" s="1">
        <v>6.1940000000000002E-2</v>
      </c>
      <c r="AM25" s="1">
        <v>0.53299999999999992</v>
      </c>
      <c r="AN25" s="1">
        <v>0.77201999999999993</v>
      </c>
      <c r="AP25" s="1">
        <v>0.67421000000000009</v>
      </c>
      <c r="AQ25" s="1">
        <v>6.4420000000000005E-2</v>
      </c>
      <c r="AR25" s="1">
        <v>0.54298000000000002</v>
      </c>
      <c r="AS25" s="1">
        <v>0.79500000000000004</v>
      </c>
      <c r="AU25" s="1">
        <v>0.94448874003154981</v>
      </c>
      <c r="AV25" s="1">
        <v>1.9324956676034014E-2</v>
      </c>
      <c r="AW25" s="1">
        <v>0.90661182494652315</v>
      </c>
      <c r="AX25" s="1">
        <v>0.98236565511657647</v>
      </c>
      <c r="AZ25" s="1">
        <v>0.98129401607656286</v>
      </c>
      <c r="BA25" s="1">
        <v>9.5317791788778142E-3</v>
      </c>
      <c r="BB25" s="1">
        <v>0.96261172888596236</v>
      </c>
      <c r="BC25" s="1">
        <v>0.99997630326716336</v>
      </c>
      <c r="BE25" s="1">
        <v>0.7114703741503654</v>
      </c>
      <c r="BF25" s="1">
        <v>3.4374895239481132E-2</v>
      </c>
      <c r="BG25" s="1">
        <v>0.64409557948098239</v>
      </c>
      <c r="BH25" s="1">
        <v>0.77884516881974841</v>
      </c>
    </row>
    <row r="26" spans="1:60" x14ac:dyDescent="0.25">
      <c r="A26" t="s">
        <v>21</v>
      </c>
      <c r="B26" s="1">
        <v>4.2399999999999998E-3</v>
      </c>
      <c r="C26" s="1">
        <v>7.0699999999999999E-3</v>
      </c>
      <c r="D26" s="1">
        <v>0</v>
      </c>
      <c r="E26" s="1">
        <v>2.4E-2</v>
      </c>
      <c r="G26" s="1">
        <v>5.3559999999999997E-2</v>
      </c>
      <c r="H26" s="1">
        <v>2.767E-2</v>
      </c>
      <c r="I26" s="1">
        <v>8.0000000000000002E-3</v>
      </c>
      <c r="J26" s="1">
        <v>0.113</v>
      </c>
      <c r="L26" s="1">
        <v>0.1084</v>
      </c>
      <c r="M26" s="1">
        <v>5.8990000000000001E-2</v>
      </c>
      <c r="N26" s="1">
        <v>1.6E-2</v>
      </c>
      <c r="O26" s="1">
        <v>0.22899999999999998</v>
      </c>
      <c r="Q26" s="1">
        <v>0.10978</v>
      </c>
      <c r="R26" s="1">
        <v>3.9390000000000001E-2</v>
      </c>
      <c r="S26" s="1">
        <v>3.9E-2</v>
      </c>
      <c r="T26" s="1">
        <v>0.19202000000000002</v>
      </c>
      <c r="V26" s="1">
        <v>0.32417999999999997</v>
      </c>
      <c r="W26" s="1">
        <v>8.0229999999999996E-2</v>
      </c>
      <c r="X26" s="1">
        <v>0.17600000000000002</v>
      </c>
      <c r="Y26" s="1">
        <v>0.48499999999999999</v>
      </c>
      <c r="AA26" s="1">
        <v>0.46314999999999995</v>
      </c>
      <c r="AB26" s="1">
        <v>9.4979999999999995E-2</v>
      </c>
      <c r="AC26" s="1">
        <v>0.27598</v>
      </c>
      <c r="AD26" s="1">
        <v>0.65099999999999991</v>
      </c>
      <c r="AF26" s="1">
        <v>0.29669000000000001</v>
      </c>
      <c r="AG26" s="1">
        <v>5.2060000000000002E-2</v>
      </c>
      <c r="AH26" s="1">
        <v>0.20100000000000001</v>
      </c>
      <c r="AI26" s="1">
        <v>0.40399999999999997</v>
      </c>
      <c r="AK26" s="1">
        <v>0.34362000000000004</v>
      </c>
      <c r="AL26" s="1">
        <v>6.1940000000000002E-2</v>
      </c>
      <c r="AM26" s="1">
        <v>0.22699999999999998</v>
      </c>
      <c r="AN26" s="1">
        <v>0.46601999999999999</v>
      </c>
      <c r="AP26" s="1">
        <v>0.32579000000000002</v>
      </c>
      <c r="AQ26" s="1">
        <v>6.4420000000000005E-2</v>
      </c>
      <c r="AR26" s="1">
        <v>0.20499999999999999</v>
      </c>
      <c r="AS26" s="1">
        <v>0.45700000000000002</v>
      </c>
      <c r="AU26" s="1">
        <v>0.16631936450851398</v>
      </c>
      <c r="AV26" s="1">
        <v>1.9323353052526658E-2</v>
      </c>
      <c r="AW26" s="1">
        <v>0.12844559252556173</v>
      </c>
      <c r="AX26" s="1">
        <v>0.20419313649146623</v>
      </c>
      <c r="AZ26" s="1">
        <v>1.8705983923437107E-2</v>
      </c>
      <c r="BA26" s="1">
        <v>9.5304841915578569E-3</v>
      </c>
      <c r="BB26" s="1">
        <v>2.6234907983709033E-5</v>
      </c>
      <c r="BC26" s="1">
        <v>3.7385732938890505E-2</v>
      </c>
      <c r="BE26" s="1">
        <v>0.28852962584963465</v>
      </c>
      <c r="BF26" s="1">
        <v>3.437219958537667E-2</v>
      </c>
      <c r="BG26" s="1">
        <v>0.22116011466229638</v>
      </c>
      <c r="BH26" s="1">
        <v>0.35589913703697296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80FB8-4343-4123-B629-BDF489FAAA60}">
  <dimension ref="A1:BC2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31" sqref="D31"/>
    </sheetView>
  </sheetViews>
  <sheetFormatPr defaultRowHeight="15" x14ac:dyDescent="0.25"/>
  <cols>
    <col min="1" max="1" width="17.5703125" customWidth="1"/>
  </cols>
  <sheetData>
    <row r="1" spans="1:55" x14ac:dyDescent="0.25">
      <c r="B1" t="s">
        <v>49</v>
      </c>
      <c r="G1" t="s">
        <v>50</v>
      </c>
      <c r="L1" t="s">
        <v>25</v>
      </c>
      <c r="Q1" t="s">
        <v>66</v>
      </c>
      <c r="V1" t="s">
        <v>67</v>
      </c>
      <c r="AA1" t="s">
        <v>68</v>
      </c>
      <c r="AF1" t="s">
        <v>69</v>
      </c>
      <c r="AK1" t="s">
        <v>63</v>
      </c>
      <c r="AP1" t="s">
        <v>97</v>
      </c>
      <c r="AU1" t="s">
        <v>72</v>
      </c>
      <c r="AZ1" t="s">
        <v>71</v>
      </c>
    </row>
    <row r="2" spans="1:55" x14ac:dyDescent="0.25">
      <c r="A2" t="s">
        <v>64</v>
      </c>
      <c r="B2" t="s">
        <v>65</v>
      </c>
      <c r="C2" t="s">
        <v>34</v>
      </c>
      <c r="D2" t="s">
        <v>35</v>
      </c>
      <c r="G2" t="s">
        <v>65</v>
      </c>
      <c r="H2" t="s">
        <v>34</v>
      </c>
      <c r="I2" t="s">
        <v>35</v>
      </c>
      <c r="L2" t="s">
        <v>65</v>
      </c>
      <c r="M2" t="s">
        <v>34</v>
      </c>
      <c r="N2" t="s">
        <v>35</v>
      </c>
      <c r="Q2" t="s">
        <v>65</v>
      </c>
      <c r="R2" t="s">
        <v>34</v>
      </c>
      <c r="S2" t="s">
        <v>35</v>
      </c>
      <c r="V2" t="s">
        <v>65</v>
      </c>
      <c r="W2" t="s">
        <v>34</v>
      </c>
      <c r="X2" t="s">
        <v>35</v>
      </c>
      <c r="AA2" t="s">
        <v>65</v>
      </c>
      <c r="AB2" t="s">
        <v>34</v>
      </c>
      <c r="AC2" t="s">
        <v>35</v>
      </c>
      <c r="AF2" t="s">
        <v>65</v>
      </c>
      <c r="AG2" t="s">
        <v>34</v>
      </c>
      <c r="AH2" t="s">
        <v>35</v>
      </c>
      <c r="AK2" t="s">
        <v>65</v>
      </c>
      <c r="AL2" t="s">
        <v>34</v>
      </c>
      <c r="AM2" t="s">
        <v>35</v>
      </c>
      <c r="AP2" t="s">
        <v>65</v>
      </c>
      <c r="AQ2" t="s">
        <v>34</v>
      </c>
      <c r="AR2" t="s">
        <v>35</v>
      </c>
      <c r="AU2" t="s">
        <v>65</v>
      </c>
      <c r="AV2" t="s">
        <v>34</v>
      </c>
      <c r="AW2" t="s">
        <v>35</v>
      </c>
      <c r="AZ2" t="s">
        <v>65</v>
      </c>
      <c r="BA2" t="s">
        <v>34</v>
      </c>
      <c r="BB2" t="s">
        <v>35</v>
      </c>
    </row>
    <row r="3" spans="1:55" x14ac:dyDescent="0.25">
      <c r="A3" t="s">
        <v>9</v>
      </c>
      <c r="B3" s="1">
        <v>0.99456999999999995</v>
      </c>
      <c r="C3" s="1">
        <v>7.1699999999999993E-3</v>
      </c>
      <c r="D3" s="1">
        <v>0.97499999999999998</v>
      </c>
      <c r="E3" s="1">
        <v>1</v>
      </c>
      <c r="G3" s="1">
        <v>0.95944000000000007</v>
      </c>
      <c r="H3" s="1">
        <v>2.18E-2</v>
      </c>
      <c r="I3" s="1">
        <v>0.91</v>
      </c>
      <c r="J3" s="1">
        <v>0.99400000000000011</v>
      </c>
      <c r="L3" s="1">
        <v>0.86448000000000003</v>
      </c>
      <c r="M3" s="1">
        <v>3.9699999999999999E-2</v>
      </c>
      <c r="N3" s="1">
        <v>0.78</v>
      </c>
      <c r="O3" s="1">
        <v>0.93400000000000005</v>
      </c>
      <c r="Q3" s="1">
        <v>0.42186000000000001</v>
      </c>
      <c r="R3" s="1">
        <v>8.1419999999999992E-2</v>
      </c>
      <c r="S3" s="1">
        <v>0.25600000000000001</v>
      </c>
      <c r="T3" s="1">
        <v>0.57499999999999996</v>
      </c>
      <c r="V3" s="1">
        <v>9.6099999999999991E-2</v>
      </c>
      <c r="W3" s="1">
        <v>3.9129999999999998E-2</v>
      </c>
      <c r="X3" s="1">
        <v>4.1980000000000003E-2</v>
      </c>
      <c r="Y3" s="1">
        <v>0.19702000000000003</v>
      </c>
      <c r="AA3" s="1">
        <v>5.3449999999999998E-2</v>
      </c>
      <c r="AB3" s="1">
        <v>2.7559999999999998E-2</v>
      </c>
      <c r="AC3" s="1">
        <v>1.6E-2</v>
      </c>
      <c r="AD3" s="1">
        <v>0.12401999999999999</v>
      </c>
      <c r="AF3" s="1">
        <v>0.11960000000000001</v>
      </c>
      <c r="AG3" s="1">
        <v>5.2039999999999996E-2</v>
      </c>
      <c r="AH3" s="1">
        <v>4.0999999999999995E-2</v>
      </c>
      <c r="AI3" s="1">
        <v>0.24100000000000002</v>
      </c>
      <c r="AK3" s="1">
        <v>2.1669999999999998E-2</v>
      </c>
      <c r="AL3" s="1">
        <v>1.393E-2</v>
      </c>
      <c r="AM3" s="1">
        <v>3.0000000000000001E-3</v>
      </c>
      <c r="AN3" s="1">
        <v>5.5E-2</v>
      </c>
      <c r="AP3" s="1">
        <v>0.61402530865791505</v>
      </c>
      <c r="AQ3" s="1">
        <v>9.8908814173168883E-3</v>
      </c>
      <c r="AR3" s="1">
        <v>0.59463918107997393</v>
      </c>
      <c r="AS3" s="1">
        <v>0.63341143623585616</v>
      </c>
      <c r="AU3" s="1">
        <v>0.98225224108301901</v>
      </c>
      <c r="AV3" s="1">
        <v>8.9501849030838177E-3</v>
      </c>
      <c r="AW3" s="1">
        <v>0.96470987867297475</v>
      </c>
      <c r="AX3" s="1">
        <v>0.99979460349306326</v>
      </c>
      <c r="AZ3" s="1">
        <v>0.21164437621167395</v>
      </c>
      <c r="BA3" s="1">
        <v>1.8242821502344561E-2</v>
      </c>
      <c r="BB3" s="1">
        <v>0.1758884460670786</v>
      </c>
      <c r="BC3" s="1">
        <v>0.24740030635626931</v>
      </c>
    </row>
    <row r="4" spans="1:55" x14ac:dyDescent="0.25">
      <c r="A4" t="s">
        <v>10</v>
      </c>
      <c r="B4" s="1">
        <v>0.98153000000000001</v>
      </c>
      <c r="C4" s="1">
        <v>2.1649999999999999E-2</v>
      </c>
      <c r="D4" s="1">
        <v>0.92099999999999993</v>
      </c>
      <c r="E4" s="1">
        <v>1</v>
      </c>
      <c r="G4" s="1">
        <v>0.90870000000000006</v>
      </c>
      <c r="H4" s="1">
        <v>3.4959999999999998E-2</v>
      </c>
      <c r="I4" s="1">
        <v>0.83799999999999997</v>
      </c>
      <c r="J4" s="1">
        <v>0.97799999999999998</v>
      </c>
      <c r="L4" s="1">
        <v>0.66510999999999998</v>
      </c>
      <c r="M4" s="1">
        <v>5.8929999999999996E-2</v>
      </c>
      <c r="N4" s="1">
        <v>0.55799999999999994</v>
      </c>
      <c r="O4" s="1">
        <v>0.79200000000000004</v>
      </c>
      <c r="Q4" s="1">
        <v>0.37729000000000001</v>
      </c>
      <c r="R4" s="1">
        <v>9.2079999999999995E-2</v>
      </c>
      <c r="S4" s="1">
        <v>0.183</v>
      </c>
      <c r="T4" s="1">
        <v>0.54600000000000004</v>
      </c>
      <c r="V4" s="1">
        <v>9.4510000000000011E-2</v>
      </c>
      <c r="W4" s="1">
        <v>3.9220000000000005E-2</v>
      </c>
      <c r="X4" s="1">
        <v>0.04</v>
      </c>
      <c r="Y4" s="1">
        <v>0.19699999999999998</v>
      </c>
      <c r="AA4" s="1">
        <v>5.0099999999999999E-2</v>
      </c>
      <c r="AB4" s="1">
        <v>2.665E-2</v>
      </c>
      <c r="AC4" s="1">
        <v>1.4999999999999999E-2</v>
      </c>
      <c r="AD4" s="1">
        <v>0.11900000000000001</v>
      </c>
      <c r="AF4" s="1">
        <v>0.11494</v>
      </c>
      <c r="AG4" s="1">
        <v>5.0339999999999996E-2</v>
      </c>
      <c r="AH4" s="1">
        <v>3.9E-2</v>
      </c>
      <c r="AI4" s="1">
        <v>0.23399999999999999</v>
      </c>
      <c r="AK4" s="1">
        <v>2.1010000000000001E-2</v>
      </c>
      <c r="AL4" s="1">
        <v>1.367E-2</v>
      </c>
      <c r="AM4" s="1">
        <v>3.0000000000000001E-3</v>
      </c>
      <c r="AN4" s="1">
        <v>5.4000000000000006E-2</v>
      </c>
      <c r="AP4" s="1">
        <v>0.58422698093986958</v>
      </c>
      <c r="AQ4" s="1">
        <v>1.3477128938897813E-2</v>
      </c>
      <c r="AR4" s="1">
        <v>0.55781180821962983</v>
      </c>
      <c r="AS4" s="1">
        <v>0.61064215366010932</v>
      </c>
      <c r="AU4" s="1">
        <v>0.95599335377387651</v>
      </c>
      <c r="AV4" s="1">
        <v>1.8652389349771412E-2</v>
      </c>
      <c r="AW4" s="1">
        <v>0.91943467064832451</v>
      </c>
      <c r="AX4" s="1">
        <v>0.9925520368994285</v>
      </c>
      <c r="AZ4" s="1">
        <v>0.17797831583569196</v>
      </c>
      <c r="BA4" s="1">
        <v>1.9494568583231228E-2</v>
      </c>
      <c r="BB4" s="1">
        <v>0.13976896141255876</v>
      </c>
      <c r="BC4" s="1">
        <v>0.21618767025882515</v>
      </c>
    </row>
    <row r="5" spans="1:55" x14ac:dyDescent="0.25">
      <c r="A5" t="s">
        <v>36</v>
      </c>
      <c r="B5" s="1">
        <v>1.2359999999999999E-2</v>
      </c>
      <c r="C5" s="1">
        <v>2.0550000000000002E-2</v>
      </c>
      <c r="D5" s="1">
        <v>0</v>
      </c>
      <c r="E5" s="1">
        <v>7.0999999999999994E-2</v>
      </c>
      <c r="G5" s="1">
        <v>5.0410000000000003E-2</v>
      </c>
      <c r="H5" s="1">
        <v>3.0899999999999997E-2</v>
      </c>
      <c r="I5" s="1">
        <v>0</v>
      </c>
      <c r="J5" s="1">
        <v>0.11800000000000001</v>
      </c>
      <c r="L5" s="1">
        <v>0.19927</v>
      </c>
      <c r="M5" s="1">
        <v>5.74E-2</v>
      </c>
      <c r="N5" s="1">
        <v>8.5999999999999993E-2</v>
      </c>
      <c r="O5" s="1">
        <v>0.312</v>
      </c>
      <c r="Q5" s="1">
        <v>4.4600000000000001E-2</v>
      </c>
      <c r="R5" s="1">
        <v>5.509E-2</v>
      </c>
      <c r="S5" s="1">
        <v>0</v>
      </c>
      <c r="T5" s="1">
        <v>0.18</v>
      </c>
      <c r="V5" s="1">
        <v>1.7000000000000001E-3</v>
      </c>
      <c r="W5" s="1">
        <v>5.2100000000000002E-3</v>
      </c>
      <c r="X5" s="1">
        <v>0</v>
      </c>
      <c r="Y5" s="1">
        <v>1.8000000000000002E-2</v>
      </c>
      <c r="AA5" s="1">
        <v>3.4300000000000003E-3</v>
      </c>
      <c r="AB5" s="1">
        <v>8.7799999999999996E-3</v>
      </c>
      <c r="AC5" s="1">
        <v>0</v>
      </c>
      <c r="AD5" s="1">
        <v>3.1E-2</v>
      </c>
      <c r="AF5" s="1">
        <v>4.7499999999999999E-3</v>
      </c>
      <c r="AG5" s="1">
        <v>1.456E-2</v>
      </c>
      <c r="AH5" s="1">
        <v>0</v>
      </c>
      <c r="AI5" s="1">
        <v>5.2019999999999997E-2</v>
      </c>
      <c r="AK5" s="1">
        <v>7.9000000000000001E-4</v>
      </c>
      <c r="AL5" s="1">
        <v>2.5400000000000002E-3</v>
      </c>
      <c r="AM5" s="1">
        <v>0</v>
      </c>
      <c r="AN5" s="1">
        <v>6.9999999999999993E-3</v>
      </c>
      <c r="AP5" s="1">
        <v>2.953957506721884E-2</v>
      </c>
      <c r="AQ5" s="1">
        <v>1.0116846861872366E-2</v>
      </c>
      <c r="AR5" s="1">
        <v>9.7105552179490053E-3</v>
      </c>
      <c r="AS5" s="1">
        <v>4.9368594916488678E-2</v>
      </c>
      <c r="AU5" s="1">
        <v>2.5701609074612105E-2</v>
      </c>
      <c r="AV5" s="1">
        <v>1.7189043638059689E-2</v>
      </c>
      <c r="AW5" s="1">
        <v>0</v>
      </c>
      <c r="AX5" s="1">
        <v>5.939213460520909E-2</v>
      </c>
      <c r="AZ5" s="1">
        <v>3.3733522328575585E-2</v>
      </c>
      <c r="BA5" s="1">
        <v>9.7693887533100883E-3</v>
      </c>
      <c r="BB5" s="1">
        <v>1.4585520372087813E-2</v>
      </c>
      <c r="BC5" s="1">
        <v>5.2881524285063361E-2</v>
      </c>
    </row>
    <row r="6" spans="1:55" x14ac:dyDescent="0.25">
      <c r="A6" t="s">
        <v>11</v>
      </c>
      <c r="B6" s="1">
        <v>5.4300000000000008E-3</v>
      </c>
      <c r="C6" s="1">
        <v>7.1599999999999997E-3</v>
      </c>
      <c r="D6" s="1">
        <v>0</v>
      </c>
      <c r="E6" s="1">
        <v>2.5019999999999997E-2</v>
      </c>
      <c r="G6" s="1">
        <v>4.0559999999999999E-2</v>
      </c>
      <c r="H6" s="1">
        <v>2.18E-2</v>
      </c>
      <c r="I6" s="1">
        <v>6.0000000000000001E-3</v>
      </c>
      <c r="J6" s="1">
        <v>8.900000000000001E-2</v>
      </c>
      <c r="L6" s="1">
        <v>0.13552</v>
      </c>
      <c r="M6" s="1">
        <v>3.9699999999999999E-2</v>
      </c>
      <c r="N6" s="1">
        <v>6.5000000000000002E-2</v>
      </c>
      <c r="O6" s="1">
        <v>0.22</v>
      </c>
      <c r="Q6" s="1">
        <v>0.57813999999999999</v>
      </c>
      <c r="R6" s="1">
        <v>8.1419999999999992E-2</v>
      </c>
      <c r="S6" s="1">
        <v>0.42597999999999997</v>
      </c>
      <c r="T6" s="1">
        <v>0.74299999999999999</v>
      </c>
      <c r="V6" s="1">
        <v>0.90390000000000004</v>
      </c>
      <c r="W6" s="1">
        <v>3.9120000000000002E-2</v>
      </c>
      <c r="X6" s="1">
        <v>0.80299999999999994</v>
      </c>
      <c r="Y6" s="1">
        <v>0.95799999999999996</v>
      </c>
      <c r="AA6" s="1">
        <v>0.94655</v>
      </c>
      <c r="AB6" s="1">
        <v>2.7549999999999998E-2</v>
      </c>
      <c r="AC6" s="1">
        <v>0.875</v>
      </c>
      <c r="AD6" s="1">
        <v>0.9840000000000001</v>
      </c>
      <c r="AF6" s="1">
        <v>0.88040000000000007</v>
      </c>
      <c r="AG6" s="1">
        <v>5.2060000000000002E-2</v>
      </c>
      <c r="AH6" s="1">
        <v>0.75900000000000001</v>
      </c>
      <c r="AI6" s="1">
        <v>0.95799999999999996</v>
      </c>
      <c r="AK6" s="1">
        <v>0.97833000000000003</v>
      </c>
      <c r="AL6" s="1">
        <v>1.3919999999999998E-2</v>
      </c>
      <c r="AM6" s="1">
        <v>0.94499999999999995</v>
      </c>
      <c r="AN6" s="1">
        <v>0.997</v>
      </c>
      <c r="AP6" s="1">
        <v>0.38597469134208495</v>
      </c>
      <c r="AQ6" s="1">
        <v>9.8883794541258386E-3</v>
      </c>
      <c r="AR6" s="1">
        <v>0.36659346761199829</v>
      </c>
      <c r="AS6" s="1">
        <v>0.40535591507217161</v>
      </c>
      <c r="AU6" s="1">
        <v>1.77477589169809E-2</v>
      </c>
      <c r="AV6" s="1">
        <v>8.9468085666406308E-3</v>
      </c>
      <c r="AW6" s="1">
        <v>2.1201412636526543E-4</v>
      </c>
      <c r="AX6" s="1">
        <v>3.5283503707596531E-2</v>
      </c>
      <c r="AZ6" s="1">
        <v>0.78835562378832591</v>
      </c>
      <c r="BA6" s="1">
        <v>1.8238858462680366E-2</v>
      </c>
      <c r="BB6" s="1">
        <v>0.75260746120147237</v>
      </c>
      <c r="BC6" s="1">
        <v>0.82410378637517945</v>
      </c>
    </row>
    <row r="7" spans="1:55" x14ac:dyDescent="0.25">
      <c r="A7" t="s">
        <v>37</v>
      </c>
      <c r="B7" s="1">
        <v>1.01E-3</v>
      </c>
      <c r="C7" s="1">
        <v>2.5000000000000001E-3</v>
      </c>
      <c r="D7" s="1">
        <v>0</v>
      </c>
      <c r="E7" s="1">
        <v>8.0000000000000002E-3</v>
      </c>
      <c r="G7" s="1">
        <v>2.8799999999999997E-3</v>
      </c>
      <c r="H7" s="1">
        <v>7.6899999999999998E-3</v>
      </c>
      <c r="I7" s="1">
        <v>0</v>
      </c>
      <c r="J7" s="1">
        <v>2.7000000000000003E-2</v>
      </c>
      <c r="L7" s="1">
        <v>9.2399999999999999E-3</v>
      </c>
      <c r="M7" s="1">
        <v>1.7059999999999999E-2</v>
      </c>
      <c r="N7" s="1">
        <v>0</v>
      </c>
      <c r="O7" s="1">
        <v>6.0999999999999999E-2</v>
      </c>
      <c r="Q7" s="1">
        <v>4.1840000000000002E-2</v>
      </c>
      <c r="R7" s="1">
        <v>3.7789999999999997E-2</v>
      </c>
      <c r="S7" s="1">
        <v>0</v>
      </c>
      <c r="T7" s="1">
        <v>0.128</v>
      </c>
      <c r="V7" s="1">
        <v>0.14804999999999999</v>
      </c>
      <c r="W7" s="1">
        <v>4.2560000000000001E-2</v>
      </c>
      <c r="X7" s="1">
        <v>7.2000000000000008E-2</v>
      </c>
      <c r="Y7" s="1">
        <v>0.23699999999999999</v>
      </c>
      <c r="AA7" s="1">
        <v>0.36804000000000003</v>
      </c>
      <c r="AB7" s="1">
        <v>5.1740000000000001E-2</v>
      </c>
      <c r="AC7" s="1">
        <v>0.26899999999999996</v>
      </c>
      <c r="AD7" s="1">
        <v>0.47200000000000003</v>
      </c>
      <c r="AF7" s="1">
        <v>0.33518999999999999</v>
      </c>
      <c r="AG7" s="1">
        <v>9.079000000000001E-2</v>
      </c>
      <c r="AH7" s="1">
        <v>0.16500000000000001</v>
      </c>
      <c r="AI7" s="1">
        <v>0.52</v>
      </c>
      <c r="AK7" s="1">
        <v>0.52161999999999997</v>
      </c>
      <c r="AL7" s="1">
        <v>4.8989999999999999E-2</v>
      </c>
      <c r="AM7" s="1">
        <v>0.42399999999999999</v>
      </c>
      <c r="AN7" s="1">
        <v>0.61699999999999999</v>
      </c>
      <c r="AP7" s="1">
        <v>0.11045601702984742</v>
      </c>
      <c r="AQ7" s="1">
        <v>1.0671061090266644E-2</v>
      </c>
      <c r="AR7" s="1">
        <v>8.9540737292924805E-2</v>
      </c>
      <c r="AS7" s="1">
        <v>0.13137129676677003</v>
      </c>
      <c r="AU7" s="1">
        <v>1.6656848612227235E-3</v>
      </c>
      <c r="AV7" s="1">
        <v>3.1473646219444206E-3</v>
      </c>
      <c r="AW7" s="1">
        <v>0</v>
      </c>
      <c r="AX7" s="1">
        <v>7.8345195202337882E-3</v>
      </c>
      <c r="AZ7" s="1">
        <v>0.22933693378096312</v>
      </c>
      <c r="BA7" s="1">
        <v>2.2065462157557673E-2</v>
      </c>
      <c r="BB7" s="1">
        <v>0.18608862795215009</v>
      </c>
      <c r="BC7" s="1">
        <v>0.27258523960977615</v>
      </c>
    </row>
    <row r="8" spans="1:55" x14ac:dyDescent="0.25">
      <c r="A8" t="s">
        <v>38</v>
      </c>
      <c r="B8" s="1">
        <v>1.8599999999999999E-3</v>
      </c>
      <c r="C8" s="1">
        <v>4.6100000000000004E-3</v>
      </c>
      <c r="D8" s="1">
        <v>0</v>
      </c>
      <c r="E8" s="1">
        <v>1.4999999999999999E-2</v>
      </c>
      <c r="G8" s="1">
        <v>1.4970000000000001E-2</v>
      </c>
      <c r="H8" s="1">
        <v>1.9950000000000002E-2</v>
      </c>
      <c r="I8" s="1">
        <v>0</v>
      </c>
      <c r="J8" s="1">
        <v>6.7019999999999996E-2</v>
      </c>
      <c r="L8" s="1">
        <v>7.1900000000000006E-2</v>
      </c>
      <c r="M8" s="1">
        <v>4.7329999999999997E-2</v>
      </c>
      <c r="N8" s="1">
        <v>0</v>
      </c>
      <c r="O8" s="1">
        <v>0.16800000000000001</v>
      </c>
      <c r="Q8" s="1">
        <v>0.19724</v>
      </c>
      <c r="R8" s="1">
        <v>8.115E-2</v>
      </c>
      <c r="S8" s="1">
        <v>5.2000000000000005E-2</v>
      </c>
      <c r="T8" s="1">
        <v>0.37200000000000005</v>
      </c>
      <c r="V8" s="1">
        <v>0.41509999999999997</v>
      </c>
      <c r="W8" s="1">
        <v>7.8520000000000006E-2</v>
      </c>
      <c r="X8" s="1">
        <v>0.26300000000000001</v>
      </c>
      <c r="Y8" s="1">
        <v>0.57200000000000006</v>
      </c>
      <c r="AA8" s="1">
        <v>0.21594000000000002</v>
      </c>
      <c r="AB8" s="1">
        <v>7.5759999999999994E-2</v>
      </c>
      <c r="AC8" s="1">
        <v>7.4999999999999997E-2</v>
      </c>
      <c r="AD8" s="1">
        <v>0.36499999999999999</v>
      </c>
      <c r="AF8" s="1">
        <v>0.34466999999999998</v>
      </c>
      <c r="AG8" s="1">
        <v>0.11255000000000001</v>
      </c>
      <c r="AH8" s="1">
        <v>0.114</v>
      </c>
      <c r="AI8" s="1">
        <v>0.56502000000000008</v>
      </c>
      <c r="AK8" s="1">
        <v>0.1105</v>
      </c>
      <c r="AL8" s="1">
        <v>6.411E-2</v>
      </c>
      <c r="AM8" s="1">
        <v>0</v>
      </c>
      <c r="AN8" s="1">
        <v>0.25102000000000002</v>
      </c>
      <c r="AP8" s="1">
        <v>0.12595509452598214</v>
      </c>
      <c r="AQ8" s="1">
        <v>1.8170712326519792E-2</v>
      </c>
      <c r="AR8" s="1">
        <v>9.0340498366003344E-2</v>
      </c>
      <c r="AS8" s="1">
        <v>0.16156969068596094</v>
      </c>
      <c r="AU8" s="1">
        <v>6.456806700871608E-3</v>
      </c>
      <c r="AV8" s="1">
        <v>7.6087783433807553E-3</v>
      </c>
      <c r="AW8" s="1">
        <v>0</v>
      </c>
      <c r="AX8" s="1">
        <v>2.137001225389789E-2</v>
      </c>
      <c r="AZ8" s="1">
        <v>0.25653715750579242</v>
      </c>
      <c r="BA8" s="1">
        <v>3.7106694821325864E-2</v>
      </c>
      <c r="BB8" s="1">
        <v>0.18380803565599374</v>
      </c>
      <c r="BC8" s="1">
        <v>0.32926627935559111</v>
      </c>
    </row>
    <row r="9" spans="1:55" x14ac:dyDescent="0.25">
      <c r="A9" t="s">
        <v>39</v>
      </c>
      <c r="B9" s="1">
        <v>2.32E-3</v>
      </c>
      <c r="C9" s="1">
        <v>4.5700000000000003E-3</v>
      </c>
      <c r="D9" s="1">
        <v>0</v>
      </c>
      <c r="E9" s="1">
        <v>1.7000000000000001E-2</v>
      </c>
      <c r="G9" s="1">
        <v>1.7809999999999999E-2</v>
      </c>
      <c r="H9" s="1">
        <v>1.8009999999999998E-2</v>
      </c>
      <c r="I9" s="1">
        <v>0</v>
      </c>
      <c r="J9" s="1">
        <v>0.06</v>
      </c>
      <c r="L9" s="1">
        <v>4.1749999999999995E-2</v>
      </c>
      <c r="M9" s="1">
        <v>3.6920000000000001E-2</v>
      </c>
      <c r="N9" s="1">
        <v>0</v>
      </c>
      <c r="O9" s="1">
        <v>0.126</v>
      </c>
      <c r="Q9" s="1">
        <v>0.20752999999999999</v>
      </c>
      <c r="R9" s="1">
        <v>6.0819999999999999E-2</v>
      </c>
      <c r="S9" s="1">
        <v>9.5000000000000001E-2</v>
      </c>
      <c r="T9" s="1">
        <v>0.33100000000000002</v>
      </c>
      <c r="V9" s="1">
        <v>0.19161</v>
      </c>
      <c r="W9" s="1">
        <v>6.9809999999999997E-2</v>
      </c>
      <c r="X9" s="1">
        <v>0.06</v>
      </c>
      <c r="Y9" s="1">
        <v>0.33500000000000002</v>
      </c>
      <c r="AA9" s="1">
        <v>0.18551999999999999</v>
      </c>
      <c r="AB9" s="1">
        <v>6.9749999999999993E-2</v>
      </c>
      <c r="AC9" s="1">
        <v>6.2E-2</v>
      </c>
      <c r="AD9" s="1">
        <v>0.32500000000000001</v>
      </c>
      <c r="AF9" s="1">
        <v>6.9690000000000002E-2</v>
      </c>
      <c r="AG9" s="1">
        <v>8.8710000000000011E-2</v>
      </c>
      <c r="AH9" s="1">
        <v>0</v>
      </c>
      <c r="AI9" s="1">
        <v>0.307</v>
      </c>
      <c r="AK9" s="1">
        <v>0.17709</v>
      </c>
      <c r="AL9" s="1">
        <v>6.1249999999999999E-2</v>
      </c>
      <c r="AM9" s="1">
        <v>5.4000000000000006E-2</v>
      </c>
      <c r="AN9" s="1">
        <v>0.29600000000000004</v>
      </c>
      <c r="AP9" s="1">
        <v>8.2780566148820733E-2</v>
      </c>
      <c r="AQ9" s="1">
        <v>1.6264360909429936E-2</v>
      </c>
      <c r="AR9" s="1">
        <v>5.090241876633806E-2</v>
      </c>
      <c r="AS9" s="1">
        <v>0.11465871353130341</v>
      </c>
      <c r="AU9" s="1">
        <v>7.7513147060641642E-3</v>
      </c>
      <c r="AV9" s="1">
        <v>6.9774480969830152E-3</v>
      </c>
      <c r="AW9" s="1">
        <v>0</v>
      </c>
      <c r="AX9" s="1">
        <v>2.1427112976150874E-2</v>
      </c>
      <c r="AZ9" s="1">
        <v>0.16476897464857232</v>
      </c>
      <c r="BA9" s="1">
        <v>3.3172304102670795E-2</v>
      </c>
      <c r="BB9" s="1">
        <v>9.9751258607337565E-2</v>
      </c>
      <c r="BC9" s="1">
        <v>0.22978669068980706</v>
      </c>
    </row>
    <row r="10" spans="1:55" x14ac:dyDescent="0.25">
      <c r="A10" t="s">
        <v>14</v>
      </c>
      <c r="B10" s="1">
        <v>3.5000000000000005E-4</v>
      </c>
      <c r="C10" s="1">
        <v>1.3700000000000001E-3</v>
      </c>
      <c r="D10" s="1">
        <v>0</v>
      </c>
      <c r="E10" s="1">
        <v>3.0000000000000001E-3</v>
      </c>
      <c r="G10" s="1">
        <v>9.7000000000000005E-4</v>
      </c>
      <c r="H10" s="1">
        <v>3.7399999999999998E-3</v>
      </c>
      <c r="I10" s="1">
        <v>0</v>
      </c>
      <c r="J10" s="1">
        <v>1.1000000000000001E-2</v>
      </c>
      <c r="L10" s="1">
        <v>2.1199999999999999E-3</v>
      </c>
      <c r="M10" s="1">
        <v>8.0099999999999998E-3</v>
      </c>
      <c r="N10" s="1">
        <v>0</v>
      </c>
      <c r="O10" s="1">
        <v>2.7000000000000003E-2</v>
      </c>
      <c r="Q10" s="1">
        <v>5.1700000000000001E-3</v>
      </c>
      <c r="R10" s="1">
        <v>1.576E-2</v>
      </c>
      <c r="S10" s="1">
        <v>0</v>
      </c>
      <c r="T10" s="1">
        <v>0.06</v>
      </c>
      <c r="V10" s="1">
        <v>5.4000000000000001E-4</v>
      </c>
      <c r="W10" s="1">
        <v>2.5100000000000001E-3</v>
      </c>
      <c r="X10" s="1">
        <v>0</v>
      </c>
      <c r="Y10" s="1">
        <v>5.0000000000000001E-3</v>
      </c>
      <c r="AA10" s="1">
        <v>3.9300000000000002E-2</v>
      </c>
      <c r="AB10" s="1">
        <v>4.7320000000000001E-2</v>
      </c>
      <c r="AC10" s="1">
        <v>0</v>
      </c>
      <c r="AD10" s="1">
        <v>0.151</v>
      </c>
      <c r="AF10" s="1">
        <v>5.1000000000000004E-3</v>
      </c>
      <c r="AG10" s="1">
        <v>2.0070000000000001E-2</v>
      </c>
      <c r="AH10" s="1">
        <v>0</v>
      </c>
      <c r="AI10" s="1">
        <v>7.0019999999999999E-2</v>
      </c>
      <c r="AK10" s="1">
        <v>0.10256999999999999</v>
      </c>
      <c r="AL10" s="1">
        <v>6.1980000000000007E-2</v>
      </c>
      <c r="AM10" s="1">
        <v>0</v>
      </c>
      <c r="AN10" s="1">
        <v>0.223</v>
      </c>
      <c r="AP10" s="1">
        <v>1.1766689631353511E-2</v>
      </c>
      <c r="AQ10" s="1">
        <v>7.1867800167384564E-3</v>
      </c>
      <c r="AR10" s="1">
        <v>0</v>
      </c>
      <c r="AS10" s="1">
        <v>2.5852778464160883E-2</v>
      </c>
      <c r="AU10" s="1">
        <v>5.673928416888175E-4</v>
      </c>
      <c r="AV10" s="1">
        <v>1.5846562874458469E-3</v>
      </c>
      <c r="AW10" s="1">
        <v>0</v>
      </c>
      <c r="AX10" s="1">
        <v>3.6733191650826775E-3</v>
      </c>
      <c r="AZ10" s="1">
        <v>2.4004750153675723E-2</v>
      </c>
      <c r="BA10" s="1">
        <v>1.4940134486444063E-2</v>
      </c>
      <c r="BB10" s="1">
        <v>0</v>
      </c>
      <c r="BC10" s="1">
        <v>5.3287413747106091E-2</v>
      </c>
    </row>
    <row r="11" spans="1:55" x14ac:dyDescent="0.25">
      <c r="A11" t="s">
        <v>15</v>
      </c>
      <c r="B11" s="1">
        <v>2.0599999999999998E-3</v>
      </c>
      <c r="C11" s="1">
        <v>4.3600000000000002E-3</v>
      </c>
      <c r="D11" s="1">
        <v>0</v>
      </c>
      <c r="E11" s="1">
        <v>1.6E-2</v>
      </c>
      <c r="G11" s="1">
        <v>1.6920000000000001E-2</v>
      </c>
      <c r="H11" s="1">
        <v>1.7979999999999999E-2</v>
      </c>
      <c r="I11" s="1">
        <v>0</v>
      </c>
      <c r="J11" s="1">
        <v>5.9000000000000004E-2</v>
      </c>
      <c r="L11" s="1">
        <v>3.9699999999999999E-2</v>
      </c>
      <c r="M11" s="1">
        <v>3.6909999999999998E-2</v>
      </c>
      <c r="N11" s="1">
        <v>0</v>
      </c>
      <c r="O11" s="1">
        <v>0.124</v>
      </c>
      <c r="Q11" s="1">
        <v>0.20242000000000002</v>
      </c>
      <c r="R11" s="1">
        <v>5.9740000000000001E-2</v>
      </c>
      <c r="S11" s="1">
        <v>9.0999999999999998E-2</v>
      </c>
      <c r="T11" s="1">
        <v>0.32299999999999995</v>
      </c>
      <c r="V11" s="1">
        <v>0.19114999999999999</v>
      </c>
      <c r="W11" s="1">
        <v>6.9769999999999999E-2</v>
      </c>
      <c r="X11" s="1">
        <v>0.06</v>
      </c>
      <c r="Y11" s="1">
        <v>0.33401999999999998</v>
      </c>
      <c r="AA11" s="1">
        <v>0.14621000000000001</v>
      </c>
      <c r="AB11" s="1">
        <v>7.1790000000000007E-2</v>
      </c>
      <c r="AC11" s="1">
        <v>1E-3</v>
      </c>
      <c r="AD11" s="1">
        <v>0.29699999999999999</v>
      </c>
      <c r="AF11" s="1">
        <v>6.4669999999999991E-2</v>
      </c>
      <c r="AG11" s="1">
        <v>8.8529999999999998E-2</v>
      </c>
      <c r="AH11" s="1">
        <v>0</v>
      </c>
      <c r="AI11" s="1">
        <v>0.30599999999999999</v>
      </c>
      <c r="AK11" s="1">
        <v>7.4469999999999995E-2</v>
      </c>
      <c r="AL11" s="1">
        <v>5.2469999999999996E-2</v>
      </c>
      <c r="AM11" s="1">
        <v>0</v>
      </c>
      <c r="AN11" s="1">
        <v>0.187</v>
      </c>
      <c r="AP11" s="1">
        <v>7.1076733568101624E-2</v>
      </c>
      <c r="AQ11" s="1">
        <v>1.6292311535876472E-2</v>
      </c>
      <c r="AR11" s="1">
        <v>3.914380295778374E-2</v>
      </c>
      <c r="AS11" s="1">
        <v>0.1030096641784195</v>
      </c>
      <c r="AU11" s="1">
        <v>7.2704155282190758E-3</v>
      </c>
      <c r="AV11" s="1">
        <v>6.9109528333362313E-3</v>
      </c>
      <c r="AW11" s="1">
        <v>0</v>
      </c>
      <c r="AX11" s="1">
        <v>2.081588308155809E-2</v>
      </c>
      <c r="AZ11" s="1">
        <v>0.14080125257533488</v>
      </c>
      <c r="BA11" s="1">
        <v>3.3248908128112972E-2</v>
      </c>
      <c r="BB11" s="1">
        <v>7.5633392644233452E-2</v>
      </c>
      <c r="BC11" s="1">
        <v>0.20596911250643629</v>
      </c>
    </row>
    <row r="12" spans="1:55" x14ac:dyDescent="0.25">
      <c r="A12" t="s">
        <v>40</v>
      </c>
      <c r="B12" s="1">
        <v>7.6999999999999996E-4</v>
      </c>
      <c r="C12" s="1">
        <v>1.9400000000000001E-3</v>
      </c>
      <c r="D12" s="1">
        <v>0</v>
      </c>
      <c r="E12" s="1">
        <v>6.0000000000000001E-3</v>
      </c>
      <c r="G12" s="1">
        <v>5.0800000000000003E-3</v>
      </c>
      <c r="H12" s="1">
        <v>6.2500000000000003E-3</v>
      </c>
      <c r="I12" s="1">
        <v>0</v>
      </c>
      <c r="J12" s="1">
        <v>2.2000000000000002E-2</v>
      </c>
      <c r="L12" s="1">
        <v>1.26E-2</v>
      </c>
      <c r="M12" s="1">
        <v>1.163E-2</v>
      </c>
      <c r="N12" s="1">
        <v>0</v>
      </c>
      <c r="O12" s="1">
        <v>4.0999999999999995E-2</v>
      </c>
      <c r="Q12" s="1">
        <v>0.13134999999999999</v>
      </c>
      <c r="R12" s="1">
        <v>2.7160000000000004E-2</v>
      </c>
      <c r="S12" s="1">
        <v>8.3000000000000004E-2</v>
      </c>
      <c r="T12" s="1">
        <v>0.18899999999999997</v>
      </c>
      <c r="V12" s="1">
        <v>0.1489</v>
      </c>
      <c r="W12" s="1">
        <v>2.8229999999999998E-2</v>
      </c>
      <c r="X12" s="1">
        <v>9.6000000000000002E-2</v>
      </c>
      <c r="Y12" s="1">
        <v>0.20699999999999999</v>
      </c>
      <c r="AA12" s="1">
        <v>0.17688999999999999</v>
      </c>
      <c r="AB12" s="1">
        <v>3.0419999999999999E-2</v>
      </c>
      <c r="AC12" s="1">
        <v>0.122</v>
      </c>
      <c r="AD12" s="1">
        <v>0.24</v>
      </c>
      <c r="AF12" s="1">
        <v>0.13063</v>
      </c>
      <c r="AG12" s="1">
        <v>5.151E-2</v>
      </c>
      <c r="AH12" s="1">
        <v>4.9000000000000002E-2</v>
      </c>
      <c r="AI12" s="1">
        <v>0.24399999999999999</v>
      </c>
      <c r="AK12" s="1">
        <v>0.16894999999999999</v>
      </c>
      <c r="AL12" s="1">
        <v>2.9229999999999999E-2</v>
      </c>
      <c r="AM12" s="1">
        <v>0.115</v>
      </c>
      <c r="AN12" s="1">
        <v>0.23</v>
      </c>
      <c r="AP12" s="1">
        <v>6.6912201930867082E-2</v>
      </c>
      <c r="AQ12" s="1">
        <v>6.7675949540029886E-3</v>
      </c>
      <c r="AR12" s="1">
        <v>5.3647715821021222E-2</v>
      </c>
      <c r="AS12" s="1">
        <v>8.0176688040712943E-2</v>
      </c>
      <c r="AU12" s="1">
        <v>2.2812308833529086E-3</v>
      </c>
      <c r="AV12" s="1">
        <v>2.5277499465214247E-3</v>
      </c>
      <c r="AW12" s="1">
        <v>0</v>
      </c>
      <c r="AX12" s="1">
        <v>7.2356207785349014E-3</v>
      </c>
      <c r="AZ12" s="1">
        <v>0.13753786264430318</v>
      </c>
      <c r="BA12" s="1">
        <v>1.3890932668262674E-2</v>
      </c>
      <c r="BB12" s="1">
        <v>0.11031163461450834</v>
      </c>
      <c r="BC12" s="1">
        <v>0.16476409067409803</v>
      </c>
    </row>
    <row r="13" spans="1:55" x14ac:dyDescent="0.25">
      <c r="A13" t="s">
        <v>17</v>
      </c>
      <c r="B13" s="1">
        <v>5.0000000000000001E-4</v>
      </c>
      <c r="C13" s="1">
        <v>1.3800000000000002E-3</v>
      </c>
      <c r="D13" s="1">
        <v>0</v>
      </c>
      <c r="E13" s="1">
        <v>4.0000000000000001E-3</v>
      </c>
      <c r="G13" s="1">
        <v>4.3299999999999996E-3</v>
      </c>
      <c r="H13" s="1">
        <v>5.5000000000000005E-3</v>
      </c>
      <c r="I13" s="1">
        <v>0</v>
      </c>
      <c r="J13" s="1">
        <v>1.9E-2</v>
      </c>
      <c r="L13" s="1">
        <v>1.089E-2</v>
      </c>
      <c r="M13" s="1">
        <v>9.8899999999999995E-3</v>
      </c>
      <c r="N13" s="1">
        <v>0</v>
      </c>
      <c r="O13" s="1">
        <v>3.5000000000000003E-2</v>
      </c>
      <c r="Q13" s="1">
        <v>0.13098000000000001</v>
      </c>
      <c r="R13" s="1">
        <v>2.7099999999999999E-2</v>
      </c>
      <c r="S13" s="1">
        <v>8.3000000000000004E-2</v>
      </c>
      <c r="T13" s="1">
        <v>0.188</v>
      </c>
      <c r="V13" s="1">
        <v>0.14757000000000001</v>
      </c>
      <c r="W13" s="1">
        <v>2.7990000000000001E-2</v>
      </c>
      <c r="X13" s="1">
        <v>9.5000000000000001E-2</v>
      </c>
      <c r="Y13" s="1">
        <v>0.20499999999999999</v>
      </c>
      <c r="AA13" s="1">
        <v>0.17637</v>
      </c>
      <c r="AB13" s="1">
        <v>3.0339999999999999E-2</v>
      </c>
      <c r="AC13" s="1">
        <v>0.122</v>
      </c>
      <c r="AD13" s="1">
        <v>0.24</v>
      </c>
      <c r="AF13" s="1">
        <v>0.12967000000000001</v>
      </c>
      <c r="AG13" s="1">
        <v>5.1239999999999994E-2</v>
      </c>
      <c r="AH13" s="1">
        <v>4.8000000000000001E-2</v>
      </c>
      <c r="AI13" s="1">
        <v>0.24299999999999999</v>
      </c>
      <c r="AK13" s="1">
        <v>0.16864000000000001</v>
      </c>
      <c r="AL13" s="1">
        <v>2.9149999999999999E-2</v>
      </c>
      <c r="AM13" s="1">
        <v>0.115</v>
      </c>
      <c r="AN13" s="1">
        <v>0.22899999999999998</v>
      </c>
      <c r="AP13" s="1">
        <v>6.6226081508284143E-2</v>
      </c>
      <c r="AQ13" s="1">
        <v>6.6790902831317684E-3</v>
      </c>
      <c r="AR13" s="1">
        <v>5.3135064553345879E-2</v>
      </c>
      <c r="AS13" s="1">
        <v>7.9317098463222407E-2</v>
      </c>
      <c r="AU13" s="1">
        <v>1.8429267478518884E-3</v>
      </c>
      <c r="AV13" s="1">
        <v>2.1265218233094099E-3</v>
      </c>
      <c r="AW13" s="1">
        <v>0</v>
      </c>
      <c r="AX13" s="1">
        <v>6.0109095215383317E-3</v>
      </c>
      <c r="AZ13" s="1">
        <v>0.13658094033329055</v>
      </c>
      <c r="BA13" s="1">
        <v>1.3783169592345029E-2</v>
      </c>
      <c r="BB13" s="1">
        <v>0.10956592793229429</v>
      </c>
      <c r="BC13" s="1">
        <v>0.16359595273428679</v>
      </c>
    </row>
    <row r="14" spans="1:55" x14ac:dyDescent="0.25">
      <c r="A14" t="s">
        <v>18</v>
      </c>
      <c r="B14" s="1">
        <v>3.4000000000000002E-4</v>
      </c>
      <c r="C14" s="1">
        <v>1.3900000000000002E-3</v>
      </c>
      <c r="D14" s="1">
        <v>0</v>
      </c>
      <c r="E14" s="1">
        <v>3.0000000000000001E-3</v>
      </c>
      <c r="G14" s="1">
        <v>8.1999999999999998E-4</v>
      </c>
      <c r="H14" s="1">
        <v>2.8899999999999998E-3</v>
      </c>
      <c r="I14" s="1">
        <v>0</v>
      </c>
      <c r="J14" s="1">
        <v>9.0000000000000011E-3</v>
      </c>
      <c r="L14" s="1">
        <v>1.7699999999999999E-3</v>
      </c>
      <c r="M14" s="1">
        <v>6.0000000000000001E-3</v>
      </c>
      <c r="N14" s="1">
        <v>0</v>
      </c>
      <c r="O14" s="1">
        <v>2.2000000000000002E-2</v>
      </c>
      <c r="Q14" s="1">
        <v>4.4999999999999999E-4</v>
      </c>
      <c r="R14" s="1">
        <v>1.9599999999999999E-3</v>
      </c>
      <c r="S14" s="1">
        <v>0</v>
      </c>
      <c r="T14" s="1">
        <v>4.0000000000000001E-3</v>
      </c>
      <c r="V14" s="1">
        <v>1.3900000000000002E-3</v>
      </c>
      <c r="W14" s="1">
        <v>4.2599999999999999E-3</v>
      </c>
      <c r="X14" s="1">
        <v>0</v>
      </c>
      <c r="Y14" s="1">
        <v>1.4999999999999999E-2</v>
      </c>
      <c r="AA14" s="1">
        <v>5.9999999999999995E-4</v>
      </c>
      <c r="AB14" s="1">
        <v>2.4499999999999999E-3</v>
      </c>
      <c r="AC14" s="1">
        <v>0</v>
      </c>
      <c r="AD14" s="1">
        <v>6.0000000000000001E-3</v>
      </c>
      <c r="AF14" s="1">
        <v>1.0199999999999999E-3</v>
      </c>
      <c r="AG14" s="1">
        <v>4.5999999999999999E-3</v>
      </c>
      <c r="AH14" s="1">
        <v>0</v>
      </c>
      <c r="AI14" s="1">
        <v>1.1000000000000001E-2</v>
      </c>
      <c r="AK14" s="1">
        <v>4.0000000000000002E-4</v>
      </c>
      <c r="AL14" s="1">
        <v>1.6100000000000001E-3</v>
      </c>
      <c r="AM14" s="1">
        <v>0</v>
      </c>
      <c r="AN14" s="1">
        <v>4.0000000000000001E-3</v>
      </c>
      <c r="AP14" s="1">
        <v>7.5640299668505435E-4</v>
      </c>
      <c r="AQ14" s="1">
        <v>1.151736902417671E-3</v>
      </c>
      <c r="AR14" s="1">
        <v>0</v>
      </c>
      <c r="AS14" s="1">
        <v>3.0138073254236892E-3</v>
      </c>
      <c r="AU14" s="1">
        <v>5.0830413550101991E-4</v>
      </c>
      <c r="AV14" s="1">
        <v>1.3570414776864596E-3</v>
      </c>
      <c r="AW14" s="1">
        <v>0</v>
      </c>
      <c r="AX14" s="1">
        <v>3.1681054317664807E-3</v>
      </c>
      <c r="AZ14" s="1">
        <v>1.0275136686954112E-3</v>
      </c>
      <c r="BA14" s="1">
        <v>1.9001379226752471E-3</v>
      </c>
      <c r="BB14" s="1">
        <v>0</v>
      </c>
      <c r="BC14" s="1">
        <v>4.7517839971388956E-3</v>
      </c>
    </row>
    <row r="15" spans="1:55" x14ac:dyDescent="0.25">
      <c r="A15" t="s">
        <v>41</v>
      </c>
      <c r="B15" s="1">
        <v>2.6900000000000001E-3</v>
      </c>
      <c r="C15" s="1">
        <v>5.1999999999999998E-3</v>
      </c>
      <c r="D15" s="1">
        <v>0</v>
      </c>
      <c r="E15" s="1">
        <v>1.8000000000000002E-2</v>
      </c>
      <c r="G15" s="1">
        <v>1.77E-2</v>
      </c>
      <c r="H15" s="1">
        <v>2.128E-2</v>
      </c>
      <c r="I15" s="1">
        <v>0</v>
      </c>
      <c r="J15" s="1">
        <v>7.2020000000000001E-2</v>
      </c>
      <c r="L15" s="1">
        <v>8.1050000000000011E-2</v>
      </c>
      <c r="M15" s="1">
        <v>4.9489999999999999E-2</v>
      </c>
      <c r="N15" s="1">
        <v>0</v>
      </c>
      <c r="O15" s="1">
        <v>0.182</v>
      </c>
      <c r="Q15" s="1">
        <v>0.23908000000000001</v>
      </c>
      <c r="R15" s="1">
        <v>9.0619999999999992E-2</v>
      </c>
      <c r="S15" s="1">
        <v>7.5999999999999998E-2</v>
      </c>
      <c r="T15" s="1">
        <v>0.43</v>
      </c>
      <c r="V15" s="1">
        <v>0.56322000000000005</v>
      </c>
      <c r="W15" s="1">
        <v>7.8619999999999995E-2</v>
      </c>
      <c r="X15" s="1">
        <v>0.4</v>
      </c>
      <c r="Y15" s="1">
        <v>0.71101999999999999</v>
      </c>
      <c r="AA15" s="1">
        <v>0.58398000000000005</v>
      </c>
      <c r="AB15" s="1">
        <v>7.4429999999999996E-2</v>
      </c>
      <c r="AC15" s="1">
        <v>0.43799999999999994</v>
      </c>
      <c r="AD15" s="1">
        <v>0.72400000000000009</v>
      </c>
      <c r="AF15" s="1">
        <v>0.67996999999999996</v>
      </c>
      <c r="AG15" s="1">
        <v>0.10694000000000001</v>
      </c>
      <c r="AH15" s="1">
        <v>0.43700000000000006</v>
      </c>
      <c r="AI15" s="1">
        <v>0.85099999999999998</v>
      </c>
      <c r="AK15" s="1">
        <v>0.63212000000000002</v>
      </c>
      <c r="AL15" s="1">
        <v>6.4989999999999992E-2</v>
      </c>
      <c r="AM15" s="1">
        <v>0.50697999999999999</v>
      </c>
      <c r="AN15" s="1">
        <v>0.76302000000000003</v>
      </c>
      <c r="AP15" s="1">
        <v>0.23632996264795406</v>
      </c>
      <c r="AQ15" s="1">
        <v>1.8255410672628362E-2</v>
      </c>
      <c r="AR15" s="1">
        <v>0.20054935772960247</v>
      </c>
      <c r="AS15" s="1">
        <v>0.27211056756630564</v>
      </c>
      <c r="AU15" s="1">
        <v>7.9530105705631453E-3</v>
      </c>
      <c r="AV15" s="1">
        <v>8.189986058622107E-3</v>
      </c>
      <c r="AW15" s="1">
        <v>0</v>
      </c>
      <c r="AX15" s="1">
        <v>2.4005383245462475E-2</v>
      </c>
      <c r="AZ15" s="1">
        <v>0.4858894674916745</v>
      </c>
      <c r="BA15" s="1">
        <v>3.7141004154091092E-2</v>
      </c>
      <c r="BB15" s="1">
        <v>0.41309309934965599</v>
      </c>
      <c r="BC15" s="1">
        <v>0.55868583563369301</v>
      </c>
    </row>
    <row r="16" spans="1:55" x14ac:dyDescent="0.25">
      <c r="A16" t="s">
        <v>42</v>
      </c>
      <c r="B16" s="1">
        <v>0.99709000000000003</v>
      </c>
      <c r="C16" s="1">
        <v>4.9399999999999999E-3</v>
      </c>
      <c r="D16" s="1">
        <v>0.98199999999999998</v>
      </c>
      <c r="E16" s="1">
        <v>1</v>
      </c>
      <c r="G16" s="1">
        <v>0.97712999999999994</v>
      </c>
      <c r="H16" s="1">
        <v>1.8319999999999999E-2</v>
      </c>
      <c r="I16" s="1">
        <v>0.93400000000000005</v>
      </c>
      <c r="J16" s="1">
        <v>0.99900000000000011</v>
      </c>
      <c r="L16" s="1">
        <v>0.94562000000000002</v>
      </c>
      <c r="M16" s="1">
        <v>3.644E-2</v>
      </c>
      <c r="N16" s="1">
        <v>0.8640000000000001</v>
      </c>
      <c r="O16" s="1">
        <v>0.996</v>
      </c>
      <c r="Q16" s="1">
        <v>0.66105000000000003</v>
      </c>
      <c r="R16" s="1">
        <v>6.2939999999999996E-2</v>
      </c>
      <c r="S16" s="1">
        <v>0.53400000000000003</v>
      </c>
      <c r="T16" s="1">
        <v>0.77902000000000005</v>
      </c>
      <c r="V16" s="1">
        <v>0.65941000000000005</v>
      </c>
      <c r="W16" s="1">
        <v>7.2009999999999991E-2</v>
      </c>
      <c r="X16" s="1">
        <v>0.51200000000000001</v>
      </c>
      <c r="Y16" s="1">
        <v>0.79900000000000004</v>
      </c>
      <c r="AA16" s="1">
        <v>0.63753000000000004</v>
      </c>
      <c r="AB16" s="1">
        <v>7.1369999999999989E-2</v>
      </c>
      <c r="AC16" s="1">
        <v>0.49700000000000005</v>
      </c>
      <c r="AD16" s="1">
        <v>0.76900000000000002</v>
      </c>
      <c r="AF16" s="1">
        <v>0.79965000000000008</v>
      </c>
      <c r="AG16" s="1">
        <v>9.8219999999999988E-2</v>
      </c>
      <c r="AH16" s="1">
        <v>0.56200000000000006</v>
      </c>
      <c r="AI16" s="1">
        <v>0.93799999999999994</v>
      </c>
      <c r="AK16" s="1">
        <v>0.65388999999999997</v>
      </c>
      <c r="AL16" s="1">
        <v>6.4189999999999997E-2</v>
      </c>
      <c r="AM16" s="1">
        <v>0.53200000000000003</v>
      </c>
      <c r="AN16" s="1">
        <v>0.78500000000000003</v>
      </c>
      <c r="AP16" s="1">
        <v>0.8503412937003122</v>
      </c>
      <c r="AQ16" s="1">
        <v>1.6736748071776567E-2</v>
      </c>
      <c r="AR16" s="1">
        <v>0.81753726747963018</v>
      </c>
      <c r="AS16" s="1">
        <v>0.88314531992099421</v>
      </c>
      <c r="AU16" s="1">
        <v>0.99009135303208251</v>
      </c>
      <c r="AV16" s="1">
        <v>7.1800534262912363E-3</v>
      </c>
      <c r="AW16" s="1">
        <v>0.97601844831655171</v>
      </c>
      <c r="AX16" s="1">
        <v>1.0041642577476133</v>
      </c>
      <c r="AZ16" s="1">
        <v>0.69762905504630535</v>
      </c>
      <c r="BA16" s="1">
        <v>3.4135783351218009E-2</v>
      </c>
      <c r="BB16" s="1">
        <v>0.63072291967791805</v>
      </c>
      <c r="BC16" s="1">
        <v>0.76453519041469264</v>
      </c>
    </row>
    <row r="17" spans="1:55" x14ac:dyDescent="0.25">
      <c r="A17" t="s">
        <v>21</v>
      </c>
      <c r="B17" s="1">
        <v>2.9099999999999998E-3</v>
      </c>
      <c r="C17" s="1">
        <v>4.9499999999999995E-3</v>
      </c>
      <c r="D17" s="1">
        <v>0</v>
      </c>
      <c r="E17" s="1">
        <v>1.8000000000000002E-2</v>
      </c>
      <c r="G17" s="1">
        <v>2.2869999999999998E-2</v>
      </c>
      <c r="H17" s="1">
        <v>1.8319999999999999E-2</v>
      </c>
      <c r="I17" s="1">
        <v>0</v>
      </c>
      <c r="J17" s="1">
        <v>6.6000000000000003E-2</v>
      </c>
      <c r="L17" s="1">
        <v>5.4379999999999998E-2</v>
      </c>
      <c r="M17" s="1">
        <v>3.644E-2</v>
      </c>
      <c r="N17" s="1">
        <v>4.0000000000000001E-3</v>
      </c>
      <c r="O17" s="1">
        <v>0.13600000000000001</v>
      </c>
      <c r="Q17" s="1">
        <v>0.33895000000000003</v>
      </c>
      <c r="R17" s="1">
        <v>6.2939999999999996E-2</v>
      </c>
      <c r="S17" s="1">
        <v>0.22</v>
      </c>
      <c r="T17" s="1">
        <v>0.46600000000000003</v>
      </c>
      <c r="V17" s="1">
        <v>0.34058999999999995</v>
      </c>
      <c r="W17" s="1">
        <v>7.2009999999999991E-2</v>
      </c>
      <c r="X17" s="1">
        <v>0.20100000000000001</v>
      </c>
      <c r="Y17" s="1">
        <v>0.48799999999999999</v>
      </c>
      <c r="AA17" s="1">
        <v>0.36247000000000001</v>
      </c>
      <c r="AB17" s="1">
        <v>7.1369999999999989E-2</v>
      </c>
      <c r="AC17" s="1">
        <v>0.23097999999999999</v>
      </c>
      <c r="AD17" s="1">
        <v>0.503</v>
      </c>
      <c r="AF17" s="1">
        <v>0.20035</v>
      </c>
      <c r="AG17" s="1">
        <v>9.8229999999999998E-2</v>
      </c>
      <c r="AH17" s="1">
        <v>6.0999999999999999E-2</v>
      </c>
      <c r="AI17" s="1">
        <v>0.43802000000000002</v>
      </c>
      <c r="AK17" s="1">
        <v>0.34610999999999997</v>
      </c>
      <c r="AL17" s="1">
        <v>6.4199999999999993E-2</v>
      </c>
      <c r="AM17" s="1">
        <v>0.215</v>
      </c>
      <c r="AN17" s="1">
        <v>0.46799999999999997</v>
      </c>
      <c r="AP17" s="1">
        <v>0.14965870629968786</v>
      </c>
      <c r="AQ17" s="1">
        <v>1.6737224282057084E-2</v>
      </c>
      <c r="AR17" s="1">
        <v>0.11685374670685597</v>
      </c>
      <c r="AS17" s="1">
        <v>0.18246366589251975</v>
      </c>
      <c r="AU17" s="1">
        <v>9.908646967917413E-3</v>
      </c>
      <c r="AV17" s="1">
        <v>7.1829569837317418E-3</v>
      </c>
      <c r="AW17" s="1">
        <v>0</v>
      </c>
      <c r="AX17" s="1">
        <v>2.3987242656031627E-2</v>
      </c>
      <c r="AZ17" s="1">
        <v>0.30237094495369465</v>
      </c>
      <c r="BA17" s="1">
        <v>3.4136076517425305E-2</v>
      </c>
      <c r="BB17" s="1">
        <v>0.23546423497954105</v>
      </c>
      <c r="BC17" s="1">
        <v>0.36927765492784825</v>
      </c>
    </row>
    <row r="18" spans="1:55" x14ac:dyDescent="0.25">
      <c r="A18" t="s">
        <v>43</v>
      </c>
      <c r="B18" s="1">
        <v>4.5700000000000003E-3</v>
      </c>
      <c r="C18" s="1">
        <v>6.7200000000000003E-3</v>
      </c>
      <c r="D18" s="1">
        <v>0</v>
      </c>
      <c r="E18" s="1">
        <v>2.4E-2</v>
      </c>
      <c r="G18" s="1">
        <v>3.7819999999999999E-2</v>
      </c>
      <c r="H18" s="1">
        <v>2.0739999999999998E-2</v>
      </c>
      <c r="I18" s="1">
        <v>5.0000000000000001E-3</v>
      </c>
      <c r="J18" s="1">
        <v>8.5000000000000006E-2</v>
      </c>
      <c r="L18" s="1">
        <v>0.12636</v>
      </c>
      <c r="M18" s="1">
        <v>3.8399999999999997E-2</v>
      </c>
      <c r="N18" s="1">
        <v>5.8979999999999998E-2</v>
      </c>
      <c r="O18" s="1">
        <v>0.20899999999999999</v>
      </c>
      <c r="Q18" s="1">
        <v>0.53627000000000002</v>
      </c>
      <c r="R18" s="1">
        <v>7.2160000000000002E-2</v>
      </c>
      <c r="S18" s="1">
        <v>0.40200000000000002</v>
      </c>
      <c r="T18" s="1">
        <v>0.68500000000000005</v>
      </c>
      <c r="V18" s="1">
        <v>0.75575000000000003</v>
      </c>
      <c r="W18" s="1">
        <v>5.1130000000000002E-2</v>
      </c>
      <c r="X18" s="1">
        <v>0.64599999999999991</v>
      </c>
      <c r="Y18" s="1">
        <v>0.84599999999999997</v>
      </c>
      <c r="AA18" s="1">
        <v>0.57847999999999999</v>
      </c>
      <c r="AB18" s="1">
        <v>5.4000000000000006E-2</v>
      </c>
      <c r="AC18" s="1">
        <v>0.46899999999999997</v>
      </c>
      <c r="AD18" s="1">
        <v>0.68200000000000005</v>
      </c>
      <c r="AF18" s="1">
        <v>0.54510000000000003</v>
      </c>
      <c r="AG18" s="1">
        <v>9.2420000000000002E-2</v>
      </c>
      <c r="AH18" s="1">
        <v>0.36200000000000004</v>
      </c>
      <c r="AI18" s="1">
        <v>0.72602</v>
      </c>
      <c r="AK18" s="1">
        <v>0.45668999999999998</v>
      </c>
      <c r="AL18" s="1">
        <v>4.9029999999999997E-2</v>
      </c>
      <c r="AM18" s="1">
        <v>0.36099999999999999</v>
      </c>
      <c r="AN18" s="1">
        <v>0.55399999999999994</v>
      </c>
      <c r="AP18" s="1">
        <v>0.27557581273623422</v>
      </c>
      <c r="AQ18" s="1">
        <v>1.3021146988236244E-2</v>
      </c>
      <c r="AR18" s="1">
        <v>0.2500543646392912</v>
      </c>
      <c r="AS18" s="1">
        <v>0.30109726083317723</v>
      </c>
      <c r="AU18" s="1">
        <v>1.6228567719601905E-2</v>
      </c>
      <c r="AV18" s="1">
        <v>8.4809364224197725E-3</v>
      </c>
      <c r="AW18" s="1">
        <v>-3.9406766834084936E-4</v>
      </c>
      <c r="AX18" s="1">
        <v>3.2851203107544663E-2</v>
      </c>
      <c r="AZ18" s="1">
        <v>0.55897818526199183</v>
      </c>
      <c r="BA18" s="1">
        <v>2.5625707055552342E-2</v>
      </c>
      <c r="BB18" s="1">
        <v>0.50875179943310922</v>
      </c>
      <c r="BC18" s="1">
        <v>0.60920457109087445</v>
      </c>
    </row>
    <row r="19" spans="1:55" x14ac:dyDescent="0.25">
      <c r="A19" t="s">
        <v>44</v>
      </c>
      <c r="B19" s="1">
        <v>2.66E-3</v>
      </c>
      <c r="C19" s="1">
        <v>4.7499999999999999E-3</v>
      </c>
      <c r="D19" s="1">
        <v>0</v>
      </c>
      <c r="E19" s="1">
        <v>1.7000000000000001E-2</v>
      </c>
      <c r="G19" s="1">
        <v>2.197E-2</v>
      </c>
      <c r="H19" s="1">
        <v>1.8249999999999999E-2</v>
      </c>
      <c r="I19" s="1">
        <v>0</v>
      </c>
      <c r="J19" s="1">
        <v>6.5000000000000002E-2</v>
      </c>
      <c r="L19" s="1">
        <v>5.2329999999999995E-2</v>
      </c>
      <c r="M19" s="1">
        <v>3.6459999999999999E-2</v>
      </c>
      <c r="N19" s="1">
        <v>3.0000000000000001E-3</v>
      </c>
      <c r="O19" s="1">
        <v>0.13500000000000001</v>
      </c>
      <c r="Q19" s="1">
        <v>0.33383000000000002</v>
      </c>
      <c r="R19" s="1">
        <v>6.1799999999999994E-2</v>
      </c>
      <c r="S19" s="1">
        <v>0.215</v>
      </c>
      <c r="T19" s="1">
        <v>0.45700000000000002</v>
      </c>
      <c r="V19" s="1">
        <v>0.34012999999999999</v>
      </c>
      <c r="W19" s="1">
        <v>7.1970000000000006E-2</v>
      </c>
      <c r="X19" s="1">
        <v>0.2</v>
      </c>
      <c r="Y19" s="1">
        <v>0.48799999999999999</v>
      </c>
      <c r="AA19" s="1">
        <v>0.32316</v>
      </c>
      <c r="AB19" s="1">
        <v>7.324E-2</v>
      </c>
      <c r="AC19" s="1">
        <v>0.17800000000000002</v>
      </c>
      <c r="AD19" s="1">
        <v>0.47200000000000003</v>
      </c>
      <c r="AF19" s="1">
        <v>0.19528999999999999</v>
      </c>
      <c r="AG19" s="1">
        <v>9.8409999999999997E-2</v>
      </c>
      <c r="AH19" s="1">
        <v>5.9000000000000004E-2</v>
      </c>
      <c r="AI19" s="1">
        <v>0.43502000000000002</v>
      </c>
      <c r="AK19" s="1">
        <v>0.24347000000000002</v>
      </c>
      <c r="AL19" s="1">
        <v>5.8769999999999996E-2</v>
      </c>
      <c r="AM19" s="1">
        <v>0.13900000000000001</v>
      </c>
      <c r="AN19" s="1">
        <v>0.36299999999999999</v>
      </c>
      <c r="AP19" s="1">
        <v>0.13795438977563595</v>
      </c>
      <c r="AQ19" s="1">
        <v>1.6786111289285928E-2</v>
      </c>
      <c r="AR19" s="1">
        <v>0.10505361164863554</v>
      </c>
      <c r="AS19" s="1">
        <v>0.17085516790263638</v>
      </c>
      <c r="AU19" s="1">
        <v>9.4307351177597819E-3</v>
      </c>
      <c r="AV19" s="1">
        <v>7.1036676482879044E-3</v>
      </c>
      <c r="AW19" s="1">
        <v>0</v>
      </c>
      <c r="AX19" s="1">
        <v>2.3353923708404074E-2</v>
      </c>
      <c r="AZ19" s="1">
        <v>0.27839894569674206</v>
      </c>
      <c r="BA19" s="1">
        <v>3.426079292696721E-2</v>
      </c>
      <c r="BB19" s="1">
        <v>0.21124779155988632</v>
      </c>
      <c r="BC19" s="1">
        <v>0.3455500998335978</v>
      </c>
    </row>
    <row r="22" spans="1:55" x14ac:dyDescent="0.25">
      <c r="A22" t="s">
        <v>41</v>
      </c>
      <c r="B22" s="1">
        <v>2.6900000000000001E-3</v>
      </c>
      <c r="C22" s="1">
        <v>5.1999999999999998E-3</v>
      </c>
      <c r="D22" s="1">
        <v>0</v>
      </c>
      <c r="E22" s="1">
        <v>1.8000000000000002E-2</v>
      </c>
      <c r="G22" s="1">
        <v>1.77E-2</v>
      </c>
      <c r="H22" s="1">
        <v>2.128E-2</v>
      </c>
      <c r="I22" s="1">
        <v>0</v>
      </c>
      <c r="J22" s="1">
        <v>7.2020000000000001E-2</v>
      </c>
      <c r="L22" s="1">
        <v>8.1050000000000011E-2</v>
      </c>
      <c r="M22" s="1">
        <v>4.9489999999999999E-2</v>
      </c>
      <c r="N22" s="1">
        <v>0</v>
      </c>
      <c r="O22" s="1">
        <v>0.182</v>
      </c>
      <c r="Q22" s="1">
        <v>0.23908000000000001</v>
      </c>
      <c r="R22" s="1">
        <v>9.0619999999999992E-2</v>
      </c>
      <c r="S22" s="1">
        <v>7.5999999999999998E-2</v>
      </c>
      <c r="T22" s="1">
        <v>0.43</v>
      </c>
      <c r="V22" s="1">
        <v>0.56322000000000005</v>
      </c>
      <c r="W22" s="1">
        <v>7.8619999999999995E-2</v>
      </c>
      <c r="X22" s="1">
        <v>0.4</v>
      </c>
      <c r="Y22" s="1">
        <v>0.71101999999999999</v>
      </c>
      <c r="AA22" s="1">
        <v>0.58398000000000005</v>
      </c>
      <c r="AB22" s="1">
        <v>7.4429999999999996E-2</v>
      </c>
      <c r="AC22" s="1">
        <v>0.43799999999999994</v>
      </c>
      <c r="AD22" s="1">
        <v>0.72400000000000009</v>
      </c>
      <c r="AF22" s="1">
        <v>0.67996999999999996</v>
      </c>
      <c r="AG22" s="1">
        <v>0.10694000000000001</v>
      </c>
      <c r="AH22" s="1">
        <v>0.43700000000000006</v>
      </c>
      <c r="AI22" s="1">
        <v>0.85099999999999998</v>
      </c>
      <c r="AK22" s="1">
        <v>0.63212000000000002</v>
      </c>
      <c r="AL22" s="1">
        <v>6.4989999999999992E-2</v>
      </c>
      <c r="AM22" s="1">
        <v>0.50697999999999999</v>
      </c>
      <c r="AN22" s="1">
        <v>0.76302000000000003</v>
      </c>
      <c r="AP22" s="1">
        <v>0.23632996264795406</v>
      </c>
      <c r="AQ22" s="1">
        <v>1.8255410672628362E-2</v>
      </c>
      <c r="AR22" s="1">
        <v>0.20054935772960247</v>
      </c>
      <c r="AS22" s="1">
        <v>0.27211056756630564</v>
      </c>
      <c r="AU22" s="1">
        <v>7.9530105705631453E-3</v>
      </c>
      <c r="AV22" s="1">
        <v>8.189986058622107E-3</v>
      </c>
      <c r="AW22" s="1">
        <v>0</v>
      </c>
      <c r="AX22" s="1">
        <v>2.4005383245462475E-2</v>
      </c>
      <c r="AZ22" s="1">
        <v>0.4858894674916745</v>
      </c>
      <c r="BA22" s="1">
        <v>3.7141004154091092E-2</v>
      </c>
      <c r="BB22" s="1">
        <v>0.41309309934965599</v>
      </c>
      <c r="BC22" s="1">
        <v>0.55868583563369301</v>
      </c>
    </row>
    <row r="23" spans="1:55" x14ac:dyDescent="0.25">
      <c r="A23" t="s">
        <v>44</v>
      </c>
      <c r="B23" s="1">
        <v>2.66E-3</v>
      </c>
      <c r="C23" s="1">
        <v>4.7499999999999999E-3</v>
      </c>
      <c r="D23" s="1">
        <v>0</v>
      </c>
      <c r="E23" s="1">
        <v>1.7000000000000001E-2</v>
      </c>
      <c r="G23" s="1">
        <v>2.197E-2</v>
      </c>
      <c r="H23" s="1">
        <v>1.8249999999999999E-2</v>
      </c>
      <c r="I23" s="1">
        <v>0</v>
      </c>
      <c r="J23" s="1">
        <v>6.5000000000000002E-2</v>
      </c>
      <c r="L23" s="1">
        <v>5.2329999999999995E-2</v>
      </c>
      <c r="M23" s="1">
        <v>3.6459999999999999E-2</v>
      </c>
      <c r="N23" s="1">
        <v>3.0000000000000001E-3</v>
      </c>
      <c r="O23" s="1">
        <v>0.13500000000000001</v>
      </c>
      <c r="Q23" s="1">
        <v>0.33383000000000002</v>
      </c>
      <c r="R23" s="1">
        <v>6.1799999999999994E-2</v>
      </c>
      <c r="S23" s="1">
        <v>0.215</v>
      </c>
      <c r="T23" s="1">
        <v>0.45700000000000002</v>
      </c>
      <c r="V23" s="1">
        <v>0.34012999999999999</v>
      </c>
      <c r="W23" s="1">
        <v>7.1970000000000006E-2</v>
      </c>
      <c r="X23" s="1">
        <v>0.2</v>
      </c>
      <c r="Y23" s="1">
        <v>0.48799999999999999</v>
      </c>
      <c r="AA23" s="1">
        <v>0.32316</v>
      </c>
      <c r="AB23" s="1">
        <v>7.324E-2</v>
      </c>
      <c r="AC23" s="1">
        <v>0.17800000000000002</v>
      </c>
      <c r="AD23" s="1">
        <v>0.47200000000000003</v>
      </c>
      <c r="AF23" s="1">
        <v>0.19528999999999999</v>
      </c>
      <c r="AG23" s="1">
        <v>9.8409999999999997E-2</v>
      </c>
      <c r="AH23" s="1">
        <v>5.9000000000000004E-2</v>
      </c>
      <c r="AI23" s="1">
        <v>0.43502000000000002</v>
      </c>
      <c r="AK23" s="1">
        <v>0.24347000000000002</v>
      </c>
      <c r="AL23" s="1">
        <v>5.8769999999999996E-2</v>
      </c>
      <c r="AM23" s="1">
        <v>0.13900000000000001</v>
      </c>
      <c r="AN23" s="1">
        <v>0.36299999999999999</v>
      </c>
      <c r="AP23" s="1">
        <v>0.13795438977563595</v>
      </c>
      <c r="AQ23" s="1">
        <v>1.6786111289285928E-2</v>
      </c>
      <c r="AR23" s="1">
        <v>0.10505361164863554</v>
      </c>
      <c r="AS23" s="1">
        <v>0.17085516790263638</v>
      </c>
      <c r="AU23" s="1">
        <v>9.4307351177597819E-3</v>
      </c>
      <c r="AV23" s="1">
        <v>7.1036676482879044E-3</v>
      </c>
      <c r="AW23" s="1">
        <v>0</v>
      </c>
      <c r="AX23" s="1">
        <v>2.3353923708404074E-2</v>
      </c>
      <c r="AZ23" s="1">
        <v>0.27839894569674206</v>
      </c>
      <c r="BA23" s="1">
        <v>3.426079292696721E-2</v>
      </c>
      <c r="BB23" s="1">
        <v>0.21124779155988632</v>
      </c>
      <c r="BC23" s="1">
        <v>0.3455500998335978</v>
      </c>
    </row>
    <row r="24" spans="1:55" x14ac:dyDescent="0.25">
      <c r="A24" t="s">
        <v>43</v>
      </c>
      <c r="B24" s="1">
        <v>4.5700000000000003E-3</v>
      </c>
      <c r="C24" s="1">
        <v>6.7200000000000003E-3</v>
      </c>
      <c r="D24" s="1">
        <v>0</v>
      </c>
      <c r="E24" s="1">
        <v>2.4E-2</v>
      </c>
      <c r="G24" s="1">
        <v>3.7819999999999999E-2</v>
      </c>
      <c r="H24" s="1">
        <v>2.0739999999999998E-2</v>
      </c>
      <c r="I24" s="1">
        <v>5.0000000000000001E-3</v>
      </c>
      <c r="J24" s="1">
        <v>8.5000000000000006E-2</v>
      </c>
      <c r="L24" s="1">
        <v>0.12636</v>
      </c>
      <c r="M24" s="1">
        <v>3.8399999999999997E-2</v>
      </c>
      <c r="N24" s="1">
        <v>5.8979999999999998E-2</v>
      </c>
      <c r="O24" s="1">
        <v>0.20899999999999999</v>
      </c>
      <c r="Q24" s="1">
        <v>0.53627000000000002</v>
      </c>
      <c r="R24" s="1">
        <v>7.2160000000000002E-2</v>
      </c>
      <c r="S24" s="1">
        <v>0.40200000000000002</v>
      </c>
      <c r="T24" s="1">
        <v>0.68500000000000005</v>
      </c>
      <c r="V24" s="1">
        <v>0.75575000000000003</v>
      </c>
      <c r="W24" s="1">
        <v>5.1130000000000002E-2</v>
      </c>
      <c r="X24" s="1">
        <v>0.64599999999999991</v>
      </c>
      <c r="Y24" s="1">
        <v>0.84599999999999997</v>
      </c>
      <c r="AA24" s="1">
        <v>0.57847999999999999</v>
      </c>
      <c r="AB24" s="1">
        <v>5.4000000000000006E-2</v>
      </c>
      <c r="AC24" s="1">
        <v>0.46899999999999997</v>
      </c>
      <c r="AD24" s="1">
        <v>0.68200000000000005</v>
      </c>
      <c r="AF24" s="1">
        <v>0.54510000000000003</v>
      </c>
      <c r="AG24" s="1">
        <v>9.2420000000000002E-2</v>
      </c>
      <c r="AH24" s="1">
        <v>0.36200000000000004</v>
      </c>
      <c r="AI24" s="1">
        <v>0.72602</v>
      </c>
      <c r="AK24" s="1">
        <v>0.45668999999999998</v>
      </c>
      <c r="AL24" s="1">
        <v>4.9029999999999997E-2</v>
      </c>
      <c r="AM24" s="1">
        <v>0.36099999999999999</v>
      </c>
      <c r="AN24" s="1">
        <v>0.55399999999999994</v>
      </c>
      <c r="AP24" s="1">
        <v>0.27557581273623422</v>
      </c>
      <c r="AQ24" s="1">
        <v>1.3021146988236244E-2</v>
      </c>
      <c r="AR24" s="1">
        <v>0.2500543646392912</v>
      </c>
      <c r="AS24" s="1">
        <v>0.30109726083317723</v>
      </c>
      <c r="AU24" s="1">
        <v>1.6228567719601905E-2</v>
      </c>
      <c r="AV24" s="1">
        <v>8.4809364224197725E-3</v>
      </c>
      <c r="AW24" s="1">
        <v>-3.9406766834084936E-4</v>
      </c>
      <c r="AX24" s="1">
        <v>3.2851203107544663E-2</v>
      </c>
      <c r="AZ24" s="1">
        <v>0.55897818526199183</v>
      </c>
      <c r="BA24" s="1">
        <v>2.5625707055552342E-2</v>
      </c>
      <c r="BB24" s="1">
        <v>0.50875179943310922</v>
      </c>
      <c r="BC24" s="1">
        <v>0.60920457109087445</v>
      </c>
    </row>
    <row r="25" spans="1:55" x14ac:dyDescent="0.25">
      <c r="A25" t="s">
        <v>42</v>
      </c>
      <c r="B25" s="1">
        <v>0.99709000000000003</v>
      </c>
      <c r="C25" s="1">
        <v>4.9399999999999999E-3</v>
      </c>
      <c r="D25" s="1">
        <v>0.98199999999999998</v>
      </c>
      <c r="E25" s="1">
        <v>1</v>
      </c>
      <c r="G25" s="1">
        <v>0.97712999999999994</v>
      </c>
      <c r="H25" s="1">
        <v>1.8319999999999999E-2</v>
      </c>
      <c r="I25" s="1">
        <v>0.93400000000000005</v>
      </c>
      <c r="J25" s="1">
        <v>0.99900000000000011</v>
      </c>
      <c r="L25" s="1">
        <v>0.94562000000000002</v>
      </c>
      <c r="M25" s="1">
        <v>3.644E-2</v>
      </c>
      <c r="N25" s="1">
        <v>0.8640000000000001</v>
      </c>
      <c r="O25" s="1">
        <v>0.996</v>
      </c>
      <c r="Q25" s="1">
        <v>0.66105000000000003</v>
      </c>
      <c r="R25" s="1">
        <v>6.2939999999999996E-2</v>
      </c>
      <c r="S25" s="1">
        <v>0.53400000000000003</v>
      </c>
      <c r="T25" s="1">
        <v>0.77902000000000005</v>
      </c>
      <c r="V25" s="1">
        <v>0.65941000000000005</v>
      </c>
      <c r="W25" s="1">
        <v>7.2009999999999991E-2</v>
      </c>
      <c r="X25" s="1">
        <v>0.51200000000000001</v>
      </c>
      <c r="Y25" s="1">
        <v>0.79900000000000004</v>
      </c>
      <c r="AA25" s="1">
        <v>0.63753000000000004</v>
      </c>
      <c r="AB25" s="1">
        <v>7.1369999999999989E-2</v>
      </c>
      <c r="AC25" s="1">
        <v>0.49700000000000005</v>
      </c>
      <c r="AD25" s="1">
        <v>0.76900000000000002</v>
      </c>
      <c r="AF25" s="1">
        <v>0.79965000000000008</v>
      </c>
      <c r="AG25" s="1">
        <v>9.8219999999999988E-2</v>
      </c>
      <c r="AH25" s="1">
        <v>0.56200000000000006</v>
      </c>
      <c r="AI25" s="1">
        <v>0.93799999999999994</v>
      </c>
      <c r="AK25" s="1">
        <v>0.65388999999999997</v>
      </c>
      <c r="AL25" s="1">
        <v>6.4189999999999997E-2</v>
      </c>
      <c r="AM25" s="1">
        <v>0.53200000000000003</v>
      </c>
      <c r="AN25" s="1">
        <v>0.78500000000000003</v>
      </c>
      <c r="AP25" s="1">
        <v>0.8503412937003122</v>
      </c>
      <c r="AQ25" s="1">
        <v>1.6736748071776567E-2</v>
      </c>
      <c r="AR25" s="1">
        <v>0.81753726747963018</v>
      </c>
      <c r="AS25" s="1">
        <v>0.88314531992099421</v>
      </c>
      <c r="AU25" s="1">
        <v>0.99009135303208251</v>
      </c>
      <c r="AV25" s="1">
        <v>7.1800534262912363E-3</v>
      </c>
      <c r="AW25" s="1">
        <v>0.97601844831655171</v>
      </c>
      <c r="AX25" s="1">
        <v>1.0041642577476133</v>
      </c>
      <c r="AZ25" s="1">
        <v>0.69762905504630535</v>
      </c>
      <c r="BA25" s="1">
        <v>3.4135783351218009E-2</v>
      </c>
      <c r="BB25" s="1">
        <v>0.63072291967791805</v>
      </c>
      <c r="BC25" s="1">
        <v>0.76453519041469264</v>
      </c>
    </row>
    <row r="26" spans="1:55" x14ac:dyDescent="0.25">
      <c r="A26" t="s">
        <v>21</v>
      </c>
      <c r="B26" s="1">
        <v>2.9099999999999998E-3</v>
      </c>
      <c r="C26" s="1">
        <v>4.9499999999999995E-3</v>
      </c>
      <c r="D26" s="1">
        <v>0</v>
      </c>
      <c r="E26" s="1">
        <v>1.8000000000000002E-2</v>
      </c>
      <c r="G26" s="1">
        <v>2.2869999999999998E-2</v>
      </c>
      <c r="H26" s="1">
        <v>1.8319999999999999E-2</v>
      </c>
      <c r="I26" s="1">
        <v>0</v>
      </c>
      <c r="J26" s="1">
        <v>6.6000000000000003E-2</v>
      </c>
      <c r="L26" s="1">
        <v>5.4379999999999998E-2</v>
      </c>
      <c r="M26" s="1">
        <v>3.644E-2</v>
      </c>
      <c r="N26" s="1">
        <v>4.0000000000000001E-3</v>
      </c>
      <c r="O26" s="1">
        <v>0.13600000000000001</v>
      </c>
      <c r="Q26" s="1">
        <v>0.33895000000000003</v>
      </c>
      <c r="R26" s="1">
        <v>6.2939999999999996E-2</v>
      </c>
      <c r="S26" s="1">
        <v>0.22</v>
      </c>
      <c r="T26" s="1">
        <v>0.46600000000000003</v>
      </c>
      <c r="V26" s="1">
        <v>0.34058999999999995</v>
      </c>
      <c r="W26" s="1">
        <v>7.2009999999999991E-2</v>
      </c>
      <c r="X26" s="1">
        <v>0.20100000000000001</v>
      </c>
      <c r="Y26" s="1">
        <v>0.48799999999999999</v>
      </c>
      <c r="AA26" s="1">
        <v>0.36247000000000001</v>
      </c>
      <c r="AB26" s="1">
        <v>7.1369999999999989E-2</v>
      </c>
      <c r="AC26" s="1">
        <v>0.23097999999999999</v>
      </c>
      <c r="AD26" s="1">
        <v>0.503</v>
      </c>
      <c r="AF26" s="1">
        <v>0.20035</v>
      </c>
      <c r="AG26" s="1">
        <v>9.8229999999999998E-2</v>
      </c>
      <c r="AH26" s="1">
        <v>6.0999999999999999E-2</v>
      </c>
      <c r="AI26" s="1">
        <v>0.43802000000000002</v>
      </c>
      <c r="AK26" s="1">
        <v>0.34610999999999997</v>
      </c>
      <c r="AL26" s="1">
        <v>6.4199999999999993E-2</v>
      </c>
      <c r="AM26" s="1">
        <v>0.215</v>
      </c>
      <c r="AN26" s="1">
        <v>0.46799999999999997</v>
      </c>
      <c r="AP26" s="1">
        <v>0.14965870629968786</v>
      </c>
      <c r="AQ26" s="1">
        <v>1.6737224282057084E-2</v>
      </c>
      <c r="AR26" s="1">
        <v>0.11685374670685597</v>
      </c>
      <c r="AS26" s="1">
        <v>0.18246366589251975</v>
      </c>
      <c r="AU26" s="1">
        <v>9.908646967917413E-3</v>
      </c>
      <c r="AV26" s="1">
        <v>7.1829569837317418E-3</v>
      </c>
      <c r="AW26" s="1">
        <v>0</v>
      </c>
      <c r="AX26" s="1">
        <v>2.3987242656031627E-2</v>
      </c>
      <c r="AZ26" s="1">
        <v>0.30237094495369465</v>
      </c>
      <c r="BA26" s="1">
        <v>3.4136076517425305E-2</v>
      </c>
      <c r="BB26" s="1">
        <v>0.23546423497954105</v>
      </c>
      <c r="BC26" s="1">
        <v>0.36927765492784825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67082-BA6E-4BFA-A8B0-AC07C9E6198F}">
  <dimension ref="A1:BW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:B21"/>
    </sheetView>
  </sheetViews>
  <sheetFormatPr defaultRowHeight="15" x14ac:dyDescent="0.25"/>
  <cols>
    <col min="1" max="1" width="19.85546875" bestFit="1" customWidth="1"/>
  </cols>
  <sheetData>
    <row r="1" spans="1:75" x14ac:dyDescent="0.25">
      <c r="B1" t="s">
        <v>74</v>
      </c>
      <c r="G1" t="s">
        <v>75</v>
      </c>
      <c r="L1" t="s">
        <v>76</v>
      </c>
      <c r="Q1" t="s">
        <v>77</v>
      </c>
      <c r="V1" t="s">
        <v>78</v>
      </c>
      <c r="AA1" t="s">
        <v>79</v>
      </c>
      <c r="AF1" t="s">
        <v>80</v>
      </c>
      <c r="AK1" t="s">
        <v>81</v>
      </c>
      <c r="AP1" t="s">
        <v>82</v>
      </c>
      <c r="AU1" t="s">
        <v>83</v>
      </c>
      <c r="AZ1" t="s">
        <v>85</v>
      </c>
      <c r="BE1" t="s">
        <v>86</v>
      </c>
      <c r="BJ1" t="s">
        <v>98</v>
      </c>
      <c r="BO1" t="s">
        <v>99</v>
      </c>
      <c r="BT1" t="s">
        <v>96</v>
      </c>
    </row>
    <row r="2" spans="1:75" x14ac:dyDescent="0.25">
      <c r="B2" t="s">
        <v>73</v>
      </c>
      <c r="C2" t="s">
        <v>34</v>
      </c>
      <c r="D2" t="s">
        <v>35</v>
      </c>
      <c r="G2" t="s">
        <v>6</v>
      </c>
      <c r="H2" t="s">
        <v>7</v>
      </c>
      <c r="I2" t="s">
        <v>8</v>
      </c>
      <c r="L2" t="s">
        <v>6</v>
      </c>
      <c r="M2" t="s">
        <v>7</v>
      </c>
      <c r="N2" t="s">
        <v>8</v>
      </c>
      <c r="Q2" t="s">
        <v>6</v>
      </c>
      <c r="R2" t="s">
        <v>7</v>
      </c>
      <c r="S2" t="s">
        <v>8</v>
      </c>
      <c r="V2" t="s">
        <v>6</v>
      </c>
      <c r="W2" t="s">
        <v>7</v>
      </c>
      <c r="X2" t="s">
        <v>8</v>
      </c>
      <c r="AA2" t="s">
        <v>6</v>
      </c>
      <c r="AB2" t="s">
        <v>7</v>
      </c>
      <c r="AC2" t="s">
        <v>8</v>
      </c>
      <c r="AF2" t="s">
        <v>6</v>
      </c>
      <c r="AG2" t="s">
        <v>7</v>
      </c>
      <c r="AH2" t="s">
        <v>8</v>
      </c>
      <c r="AK2" t="s">
        <v>6</v>
      </c>
      <c r="AL2" t="s">
        <v>7</v>
      </c>
      <c r="AM2" t="s">
        <v>8</v>
      </c>
      <c r="AP2" t="s">
        <v>6</v>
      </c>
      <c r="AQ2" t="s">
        <v>7</v>
      </c>
      <c r="AR2" t="s">
        <v>8</v>
      </c>
      <c r="AU2" t="s">
        <v>6</v>
      </c>
      <c r="AV2" t="s">
        <v>7</v>
      </c>
      <c r="AW2" t="s">
        <v>8</v>
      </c>
      <c r="AZ2" t="s">
        <v>65</v>
      </c>
      <c r="BA2" t="s">
        <v>34</v>
      </c>
      <c r="BB2">
        <v>2.5</v>
      </c>
      <c r="BC2">
        <v>97.5</v>
      </c>
      <c r="BE2" t="s">
        <v>65</v>
      </c>
      <c r="BF2" t="s">
        <v>34</v>
      </c>
      <c r="BG2">
        <v>2.5</v>
      </c>
      <c r="BH2">
        <v>97.5</v>
      </c>
      <c r="BJ2" t="s">
        <v>73</v>
      </c>
      <c r="BK2" t="s">
        <v>34</v>
      </c>
      <c r="BL2" t="s">
        <v>35</v>
      </c>
      <c r="BO2" t="s">
        <v>73</v>
      </c>
      <c r="BP2" t="s">
        <v>34</v>
      </c>
      <c r="BQ2" t="s">
        <v>35</v>
      </c>
      <c r="BT2" t="s">
        <v>73</v>
      </c>
      <c r="BU2" t="s">
        <v>34</v>
      </c>
      <c r="BV2" t="s">
        <v>35</v>
      </c>
    </row>
    <row r="3" spans="1:75" x14ac:dyDescent="0.25">
      <c r="A3" t="s">
        <v>9</v>
      </c>
      <c r="B3" s="1">
        <v>0.992269156133325</v>
      </c>
      <c r="C3" s="1">
        <v>9.194949059760326E-3</v>
      </c>
      <c r="D3" s="1">
        <v>0.96736092500000004</v>
      </c>
      <c r="E3" s="1">
        <v>0.99998600000000015</v>
      </c>
      <c r="G3" s="1">
        <v>0.99595605462221992</v>
      </c>
      <c r="H3" s="1">
        <v>5.6918628222021646E-3</v>
      </c>
      <c r="I3" s="1">
        <v>0.97988192499999993</v>
      </c>
      <c r="J3" s="1">
        <v>0.99999499999999997</v>
      </c>
      <c r="L3" s="1">
        <v>0.99181395933332794</v>
      </c>
      <c r="M3" s="1">
        <v>1.0300137906340323E-2</v>
      </c>
      <c r="N3" s="1">
        <v>0.96306585</v>
      </c>
      <c r="O3" s="1">
        <v>0.99998799999999999</v>
      </c>
      <c r="Q3" s="1">
        <v>0.99230428306666274</v>
      </c>
      <c r="R3" s="1">
        <v>9.4743555924213865E-3</v>
      </c>
      <c r="S3" s="1">
        <v>0.96625364999999996</v>
      </c>
      <c r="T3" s="1">
        <v>0.99998799999999999</v>
      </c>
      <c r="V3" s="1">
        <v>0.95893628506666284</v>
      </c>
      <c r="W3" s="1">
        <v>3.0766991546557997E-2</v>
      </c>
      <c r="X3" s="1">
        <v>0.88808600000000004</v>
      </c>
      <c r="Y3" s="1">
        <v>0.99966952499999995</v>
      </c>
      <c r="AA3" s="1">
        <v>0.83681925866666695</v>
      </c>
      <c r="AB3" s="1">
        <v>4.2224218022894111E-2</v>
      </c>
      <c r="AC3" s="1">
        <v>0.74866389999999994</v>
      </c>
      <c r="AD3" s="1">
        <v>0.91412062500000002</v>
      </c>
      <c r="AF3" s="1">
        <v>0.73016019862222215</v>
      </c>
      <c r="AG3" s="1">
        <v>4.2035612437987459E-2</v>
      </c>
      <c r="AH3" s="1">
        <v>0.64595194999999994</v>
      </c>
      <c r="AI3" s="1">
        <v>0.81080272499999995</v>
      </c>
      <c r="AK3" s="1">
        <v>0.15366845426666667</v>
      </c>
      <c r="AL3" s="1">
        <v>4.9290536358906227E-2</v>
      </c>
      <c r="AM3" s="1">
        <v>6.3012274999999993E-2</v>
      </c>
      <c r="AN3" s="1">
        <v>0.25332242499999985</v>
      </c>
      <c r="AP3" s="1">
        <v>0.13632960271111091</v>
      </c>
      <c r="AQ3" s="1">
        <v>3.6607402073806916E-2</v>
      </c>
      <c r="AR3" s="1">
        <v>7.3193449999999993E-2</v>
      </c>
      <c r="AS3" s="1">
        <v>0.21496187499999989</v>
      </c>
      <c r="AU3" s="1">
        <v>4.6733890711111094E-2</v>
      </c>
      <c r="AV3" s="1">
        <v>2.524261787692092E-2</v>
      </c>
      <c r="AW3" s="1">
        <v>7.8937499999999997E-3</v>
      </c>
      <c r="AX3" s="1">
        <v>0.10585264999999995</v>
      </c>
      <c r="AZ3" s="1">
        <v>4.0650000000000006E-2</v>
      </c>
      <c r="BA3" s="1">
        <v>1.933E-2</v>
      </c>
      <c r="BB3" s="1">
        <v>1.3000000000000001E-2</v>
      </c>
      <c r="BC3" s="1">
        <v>8.8000000000000009E-2</v>
      </c>
      <c r="BE3" s="1">
        <v>8.14E-2</v>
      </c>
      <c r="BF3" s="1">
        <v>3.082E-2</v>
      </c>
      <c r="BG3" s="1">
        <v>2.7999999999999997E-2</v>
      </c>
      <c r="BH3" s="1">
        <v>0.14800000000000002</v>
      </c>
      <c r="BJ3" s="1">
        <v>0.76925960241207392</v>
      </c>
      <c r="BK3" s="1">
        <v>7.660968234043445E-3</v>
      </c>
      <c r="BL3" s="1">
        <v>0.75424410467334879</v>
      </c>
      <c r="BM3" s="1">
        <v>0.78427510015079904</v>
      </c>
      <c r="BO3" s="1">
        <v>0.97838865845146472</v>
      </c>
      <c r="BP3" s="1">
        <v>8.493807751002537E-3</v>
      </c>
      <c r="BQ3" s="1">
        <v>0.96174079525949974</v>
      </c>
      <c r="BR3" s="1">
        <v>0.99503652164342971</v>
      </c>
      <c r="BT3" s="1">
        <v>0.16159254615376031</v>
      </c>
      <c r="BU3" s="1">
        <v>1.6916499766983461E-2</v>
      </c>
      <c r="BV3" s="1">
        <v>0.12843620661047273</v>
      </c>
      <c r="BW3" s="1">
        <v>0.1947488856970479</v>
      </c>
    </row>
    <row r="4" spans="1:75" x14ac:dyDescent="0.25">
      <c r="A4" t="s">
        <v>10</v>
      </c>
      <c r="B4" s="1">
        <v>0.76588583506666619</v>
      </c>
      <c r="C4" s="1">
        <v>6.9712406489362638E-2</v>
      </c>
      <c r="D4" s="1">
        <v>0.62406695000000001</v>
      </c>
      <c r="E4" s="1">
        <v>0.89341879999999985</v>
      </c>
      <c r="G4" s="1">
        <v>0.7163965613777763</v>
      </c>
      <c r="H4" s="1">
        <v>6.8441823996559112E-2</v>
      </c>
      <c r="I4" s="1">
        <v>0.57575177499999997</v>
      </c>
      <c r="J4" s="1">
        <v>0.84279242499999985</v>
      </c>
      <c r="L4" s="1">
        <v>0.68378668137777709</v>
      </c>
      <c r="M4" s="1">
        <v>7.6449922783137475E-2</v>
      </c>
      <c r="N4" s="1">
        <v>0.53512124999999999</v>
      </c>
      <c r="O4" s="1">
        <v>0.83017877500000004</v>
      </c>
      <c r="Q4" s="1">
        <v>0.91197387146666165</v>
      </c>
      <c r="R4" s="1">
        <v>5.7573867847605778E-2</v>
      </c>
      <c r="S4" s="1">
        <v>0.77064117499999996</v>
      </c>
      <c r="T4" s="1">
        <v>0.99195467500000001</v>
      </c>
      <c r="V4" s="1">
        <v>0.64269686555555239</v>
      </c>
      <c r="W4" s="1">
        <v>6.9518579348804413E-2</v>
      </c>
      <c r="X4" s="1">
        <v>0.49823742500000001</v>
      </c>
      <c r="Y4" s="1">
        <v>0.77240494999999987</v>
      </c>
      <c r="AA4" s="1">
        <v>0.64391466595555347</v>
      </c>
      <c r="AB4" s="1">
        <v>7.0944895537286182E-2</v>
      </c>
      <c r="AC4" s="1">
        <v>0.50012970000000001</v>
      </c>
      <c r="AD4" s="1">
        <v>0.77098152499999995</v>
      </c>
      <c r="AF4" s="1">
        <v>0.33397647964444432</v>
      </c>
      <c r="AG4" s="1">
        <v>6.1449094512810512E-2</v>
      </c>
      <c r="AH4" s="1">
        <v>0.220201275</v>
      </c>
      <c r="AI4" s="1">
        <v>0.45884952499999998</v>
      </c>
      <c r="AK4" s="1">
        <v>5.2888869022222361E-2</v>
      </c>
      <c r="AL4" s="1">
        <v>2.8181722633823285E-2</v>
      </c>
      <c r="AM4" s="1">
        <v>8.8895E-4</v>
      </c>
      <c r="AN4" s="1">
        <v>0.11167957499999999</v>
      </c>
      <c r="AP4" s="1">
        <v>8.6856234444444722E-2</v>
      </c>
      <c r="AQ4" s="1">
        <v>2.9545908043586682E-2</v>
      </c>
      <c r="AR4" s="1">
        <v>3.248115E-2</v>
      </c>
      <c r="AS4" s="1">
        <v>0.14805769999999996</v>
      </c>
      <c r="AU4" s="1">
        <v>1.3889531244444323E-2</v>
      </c>
      <c r="AV4" s="1">
        <v>1.6555216774507085E-2</v>
      </c>
      <c r="AW4" s="1">
        <v>0</v>
      </c>
      <c r="AX4" s="1">
        <v>5.6812199999999889E-2</v>
      </c>
      <c r="AZ4" s="1">
        <v>3.2899999999999999E-2</v>
      </c>
      <c r="BA4" s="1">
        <v>1.4930000000000001E-2</v>
      </c>
      <c r="BB4" s="1">
        <v>0.01</v>
      </c>
      <c r="BC4" s="1">
        <v>6.7000000000000004E-2</v>
      </c>
      <c r="BE4" s="1">
        <v>2.257E-2</v>
      </c>
      <c r="BF4" s="1">
        <v>1.67E-2</v>
      </c>
      <c r="BG4" s="1">
        <v>0</v>
      </c>
      <c r="BH4" s="1">
        <v>6.2E-2</v>
      </c>
      <c r="BJ4" s="1">
        <v>0.57643873013982538</v>
      </c>
      <c r="BK4" s="1">
        <v>2.5002108195963029E-2</v>
      </c>
      <c r="BL4" s="1">
        <v>0.52743459807573789</v>
      </c>
      <c r="BM4" s="1">
        <v>0.62544286220391287</v>
      </c>
      <c r="BO4" s="1">
        <v>0.75099324099634324</v>
      </c>
      <c r="BP4" s="1">
        <v>3.3369590009748692E-2</v>
      </c>
      <c r="BQ4" s="1">
        <v>0.68558884457723579</v>
      </c>
      <c r="BR4" s="1">
        <v>0.81639763741545068</v>
      </c>
      <c r="BT4" s="1">
        <v>6.9235055157373521E-2</v>
      </c>
      <c r="BU4" s="1">
        <v>1.1577012339733898E-2</v>
      </c>
      <c r="BV4" s="1">
        <v>4.6544110971495078E-2</v>
      </c>
      <c r="BW4" s="1">
        <v>9.1925999343251963E-2</v>
      </c>
    </row>
    <row r="5" spans="1:75" x14ac:dyDescent="0.25">
      <c r="A5" t="s">
        <v>84</v>
      </c>
      <c r="B5" s="1">
        <v>0.2263833210666665</v>
      </c>
      <c r="C5" s="1">
        <v>7.021691455634152E-2</v>
      </c>
      <c r="D5" s="1">
        <v>9.7739875000000004E-2</v>
      </c>
      <c r="E5" s="1">
        <v>0.36914767500000001</v>
      </c>
      <c r="G5" s="1">
        <v>0.27955949324444512</v>
      </c>
      <c r="H5" s="1">
        <v>6.8343054943200657E-2</v>
      </c>
      <c r="I5" s="1">
        <v>0.15300620000000001</v>
      </c>
      <c r="J5" s="1">
        <v>0.41968797499999999</v>
      </c>
      <c r="L5" s="1">
        <v>0.3080272779555554</v>
      </c>
      <c r="M5" s="1">
        <v>7.6770892687112083E-2</v>
      </c>
      <c r="N5" s="1">
        <v>0.16179687500000001</v>
      </c>
      <c r="O5" s="1">
        <v>0.45737282499999971</v>
      </c>
      <c r="Q5" s="1">
        <v>8.0330411600000137E-2</v>
      </c>
      <c r="R5" s="1">
        <v>5.8434694294616285E-2</v>
      </c>
      <c r="S5" s="1">
        <v>3.8642500000000008E-4</v>
      </c>
      <c r="T5" s="1">
        <v>0.22363582499999998</v>
      </c>
      <c r="V5" s="1">
        <v>0.3162394195111119</v>
      </c>
      <c r="W5" s="1">
        <v>7.4486379648411413E-2</v>
      </c>
      <c r="X5" s="1">
        <v>0.17684759999999999</v>
      </c>
      <c r="Y5" s="1">
        <v>0.47181927499999976</v>
      </c>
      <c r="AA5" s="1">
        <v>0.1929045927111101</v>
      </c>
      <c r="AB5" s="1">
        <v>7.3034816988493137E-2</v>
      </c>
      <c r="AC5" s="1">
        <v>6.7519800000000005E-2</v>
      </c>
      <c r="AD5" s="1">
        <v>0.34736544999999996</v>
      </c>
      <c r="AF5" s="1">
        <v>0.39618371897777738</v>
      </c>
      <c r="AG5" s="1">
        <v>6.6684060678715476E-2</v>
      </c>
      <c r="AH5" s="1">
        <v>0.26583652499999999</v>
      </c>
      <c r="AI5" s="1">
        <v>0.52611897499999993</v>
      </c>
      <c r="AK5" s="1">
        <v>0.10077958524444479</v>
      </c>
      <c r="AL5" s="1">
        <v>5.3462742988366431E-2</v>
      </c>
      <c r="AM5" s="1">
        <v>4.6290000000000008E-4</v>
      </c>
      <c r="AN5" s="1">
        <v>0.20877847499999991</v>
      </c>
      <c r="AP5" s="1">
        <v>4.9473368266666318E-2</v>
      </c>
      <c r="AQ5" s="1">
        <v>3.6200550134884969E-2</v>
      </c>
      <c r="AR5" s="1">
        <v>1.5475000000000024E-5</v>
      </c>
      <c r="AS5" s="1">
        <v>0.13132702499999996</v>
      </c>
      <c r="AU5" s="1">
        <v>3.2844359466666313E-2</v>
      </c>
      <c r="AV5" s="1">
        <v>2.6751262028455413E-2</v>
      </c>
      <c r="AW5" s="1">
        <v>1.9999999999999999E-6</v>
      </c>
      <c r="AX5" s="1">
        <v>9.4022199999999723E-2</v>
      </c>
      <c r="AZ5" s="1">
        <v>7.7800000000000005E-3</v>
      </c>
      <c r="BA5" s="1">
        <v>1.328E-2</v>
      </c>
      <c r="BB5" s="1">
        <v>0</v>
      </c>
      <c r="BC5" s="1">
        <v>4.8000000000000001E-2</v>
      </c>
      <c r="BE5" s="1">
        <v>5.8749999999999997E-2</v>
      </c>
      <c r="BF5" s="1">
        <v>2.9089999999999998E-2</v>
      </c>
      <c r="BG5" s="1">
        <v>8.0000000000000002E-3</v>
      </c>
      <c r="BH5" s="1">
        <v>0.124</v>
      </c>
      <c r="BJ5" s="1">
        <v>0.19281771224669944</v>
      </c>
      <c r="BK5" s="1">
        <v>2.5848565140473692E-2</v>
      </c>
      <c r="BL5" s="1">
        <v>0.14215452457137101</v>
      </c>
      <c r="BM5" s="1">
        <v>0.24348089992202787</v>
      </c>
      <c r="BO5" s="1">
        <v>0.22739541745512284</v>
      </c>
      <c r="BP5" s="1">
        <v>3.4157927844345702E-2</v>
      </c>
      <c r="BQ5" s="1">
        <v>0.16044587888020528</v>
      </c>
      <c r="BR5" s="1">
        <v>0.29434495603004041</v>
      </c>
      <c r="BT5" s="1">
        <v>9.2345148873139521E-2</v>
      </c>
      <c r="BU5" s="1">
        <v>1.8470549760430142E-2</v>
      </c>
      <c r="BV5" s="1">
        <v>5.6142871342696445E-2</v>
      </c>
      <c r="BW5" s="1">
        <v>0.1285474264035826</v>
      </c>
    </row>
    <row r="6" spans="1:75" x14ac:dyDescent="0.25">
      <c r="A6" t="s">
        <v>87</v>
      </c>
      <c r="B6" s="1">
        <v>0.22398708377777796</v>
      </c>
      <c r="C6" s="1">
        <v>7.035458824680825E-2</v>
      </c>
      <c r="D6" s="1">
        <v>9.5298425000000006E-2</v>
      </c>
      <c r="E6" s="1">
        <v>0.36724022499999964</v>
      </c>
      <c r="G6" s="1">
        <v>0.23137962075555718</v>
      </c>
      <c r="H6" s="1">
        <v>6.8160634755006583E-2</v>
      </c>
      <c r="I6" s="1">
        <v>0.10574509999999999</v>
      </c>
      <c r="J6" s="1">
        <v>0.37189672499999998</v>
      </c>
      <c r="L6" s="1">
        <v>0.29843241866666581</v>
      </c>
      <c r="M6" s="1">
        <v>7.8956323741510334E-2</v>
      </c>
      <c r="N6" s="1">
        <v>0.146443775</v>
      </c>
      <c r="O6" s="1">
        <v>0.451651725</v>
      </c>
      <c r="Q6" s="1">
        <v>5.9620799333333564E-2</v>
      </c>
      <c r="R6" s="1">
        <v>5.8675395654669324E-2</v>
      </c>
      <c r="S6" s="1">
        <v>0</v>
      </c>
      <c r="T6" s="1">
        <v>0.20405014999999999</v>
      </c>
      <c r="V6" s="1">
        <v>0.21541971666666779</v>
      </c>
      <c r="W6" s="1">
        <v>7.7375223522829203E-2</v>
      </c>
      <c r="X6" s="1">
        <v>7.8756925000000005E-2</v>
      </c>
      <c r="Y6" s="1">
        <v>0.38016747499999964</v>
      </c>
      <c r="AA6" s="1">
        <v>7.8031094666666967E-2</v>
      </c>
      <c r="AB6" s="1">
        <v>6.6656602392260206E-2</v>
      </c>
      <c r="AC6" s="1">
        <v>0</v>
      </c>
      <c r="AD6" s="1">
        <v>0.22701619999999989</v>
      </c>
      <c r="AF6" s="1">
        <v>0.12535399733333352</v>
      </c>
      <c r="AG6" s="1">
        <v>6.5648075030462064E-2</v>
      </c>
      <c r="AH6" s="1">
        <v>3.2795000000000003E-4</v>
      </c>
      <c r="AI6" s="1">
        <v>0.25701917499999993</v>
      </c>
      <c r="AK6" s="1">
        <v>9.4410852444444693E-2</v>
      </c>
      <c r="AL6" s="1">
        <v>5.5583704782919463E-2</v>
      </c>
      <c r="AM6" s="1">
        <v>6.9999999999999999E-6</v>
      </c>
      <c r="AN6" s="1">
        <v>0.20546372499999999</v>
      </c>
      <c r="AP6" s="1">
        <v>1.6861500133333027E-2</v>
      </c>
      <c r="AQ6" s="1">
        <v>2.3232779644938632E-2</v>
      </c>
      <c r="AR6" s="1">
        <v>0</v>
      </c>
      <c r="AS6" s="1">
        <v>7.984334999999998E-2</v>
      </c>
      <c r="AU6" s="1">
        <v>3.0103617022222133E-2</v>
      </c>
      <c r="AV6" s="1">
        <v>2.5900603618185095E-2</v>
      </c>
      <c r="AW6" s="1">
        <v>0</v>
      </c>
      <c r="AX6" s="1">
        <v>8.9934274999999939E-2</v>
      </c>
      <c r="AZ6" s="1">
        <v>4.2300000000000003E-3</v>
      </c>
      <c r="BA6" s="1">
        <v>9.7999999999999997E-3</v>
      </c>
      <c r="BB6" s="1">
        <v>0</v>
      </c>
      <c r="BC6" s="1">
        <v>3.5000000000000003E-2</v>
      </c>
      <c r="BE6" s="1">
        <v>1.0460000000000001E-2</v>
      </c>
      <c r="BF6" s="1">
        <v>1.8870000000000001E-2</v>
      </c>
      <c r="BG6" s="1">
        <v>0</v>
      </c>
      <c r="BH6" s="1">
        <v>6.7000000000000004E-2</v>
      </c>
      <c r="BJ6" s="1">
        <v>0.14953970948196152</v>
      </c>
      <c r="BK6" s="1">
        <v>2.6361579999266596E-2</v>
      </c>
      <c r="BL6" s="1">
        <v>9.7871012683398984E-2</v>
      </c>
      <c r="BM6" s="1">
        <v>0.20120840628052405</v>
      </c>
      <c r="BO6" s="1">
        <v>0.18422482680397056</v>
      </c>
      <c r="BP6" s="1">
        <v>3.4885310689317821E-2</v>
      </c>
      <c r="BQ6" s="1">
        <v>0.11584961785290764</v>
      </c>
      <c r="BR6" s="1">
        <v>0.25260003575503348</v>
      </c>
      <c r="BT6" s="1">
        <v>4.8755038340570767E-2</v>
      </c>
      <c r="BU6" s="1">
        <v>1.8047899037869169E-2</v>
      </c>
      <c r="BV6" s="1">
        <v>1.3381156226347196E-2</v>
      </c>
      <c r="BW6" s="1">
        <v>8.4128920454794337E-2</v>
      </c>
    </row>
    <row r="7" spans="1:75" x14ac:dyDescent="0.25">
      <c r="A7" t="s">
        <v>36</v>
      </c>
      <c r="B7" s="1">
        <v>2.3962372888888636E-3</v>
      </c>
      <c r="C7" s="1">
        <v>6.5478113444333297E-3</v>
      </c>
      <c r="D7" s="1">
        <v>0</v>
      </c>
      <c r="E7" s="1">
        <v>2.3475324999999929E-2</v>
      </c>
      <c r="G7" s="1">
        <v>4.817987248888881E-2</v>
      </c>
      <c r="H7" s="1">
        <v>3.0072508168860403E-2</v>
      </c>
      <c r="I7" s="1">
        <v>0</v>
      </c>
      <c r="J7" s="1">
        <v>0.10970979999999993</v>
      </c>
      <c r="L7" s="1">
        <v>9.5948592888887956E-3</v>
      </c>
      <c r="M7" s="1">
        <v>1.85768558105576E-2</v>
      </c>
      <c r="N7" s="1">
        <v>0</v>
      </c>
      <c r="O7" s="1">
        <v>6.5610674999999993E-2</v>
      </c>
      <c r="Q7" s="1">
        <v>2.0709612266666389E-2</v>
      </c>
      <c r="R7" s="1">
        <v>2.282973593485119E-2</v>
      </c>
      <c r="S7" s="1">
        <v>0</v>
      </c>
      <c r="T7" s="1">
        <v>7.4442224999999931E-2</v>
      </c>
      <c r="V7" s="1">
        <v>0.10081970284444478</v>
      </c>
      <c r="W7" s="1">
        <v>4.3030882718215313E-2</v>
      </c>
      <c r="X7" s="1">
        <v>1.7134199999999999E-2</v>
      </c>
      <c r="Y7" s="1">
        <v>0.18887482499999989</v>
      </c>
      <c r="AA7" s="1">
        <v>0.11487349804444522</v>
      </c>
      <c r="AB7" s="1">
        <v>4.3141000941173485E-2</v>
      </c>
      <c r="AC7" s="1">
        <v>4.0521624999999999E-2</v>
      </c>
      <c r="AD7" s="1">
        <v>0.20717614999999998</v>
      </c>
      <c r="AF7" s="1">
        <v>0.27082972164444497</v>
      </c>
      <c r="AG7" s="1">
        <v>4.7254636586684592E-2</v>
      </c>
      <c r="AH7" s="1">
        <v>0.18156159999999999</v>
      </c>
      <c r="AI7" s="1">
        <v>0.36669939999999995</v>
      </c>
      <c r="AK7" s="1">
        <v>6.3687327999999363E-3</v>
      </c>
      <c r="AL7" s="1">
        <v>1.5858254081508965E-2</v>
      </c>
      <c r="AM7" s="1">
        <v>0</v>
      </c>
      <c r="AN7" s="1">
        <v>5.7915274999999933E-2</v>
      </c>
      <c r="AP7" s="1">
        <v>3.261186813333309E-2</v>
      </c>
      <c r="AQ7" s="1">
        <v>3.3645602883953206E-2</v>
      </c>
      <c r="AR7" s="1">
        <v>0</v>
      </c>
      <c r="AS7" s="1">
        <v>0.11195174999999993</v>
      </c>
      <c r="AU7" s="1">
        <v>2.7407424444444131E-3</v>
      </c>
      <c r="AV7" s="1">
        <v>8.61568752744548E-3</v>
      </c>
      <c r="AW7" s="1">
        <v>0</v>
      </c>
      <c r="AX7" s="1">
        <v>3.0340249999999978E-2</v>
      </c>
      <c r="AZ7" s="1">
        <v>3.6900000000000001E-3</v>
      </c>
      <c r="BA7" s="1">
        <v>9.3799999999999994E-3</v>
      </c>
      <c r="BB7" s="1">
        <v>0</v>
      </c>
      <c r="BC7" s="1">
        <v>3.4000000000000002E-2</v>
      </c>
      <c r="BE7" s="1">
        <v>4.8349999999999997E-2</v>
      </c>
      <c r="BF7" s="1">
        <v>2.7740000000000001E-2</v>
      </c>
      <c r="BG7" s="1">
        <v>0</v>
      </c>
      <c r="BH7" s="1">
        <v>0.107</v>
      </c>
      <c r="BJ7" s="1">
        <v>4.3285949313478594E-2</v>
      </c>
      <c r="BK7" s="1">
        <v>1.0690067614094304E-2</v>
      </c>
      <c r="BL7" s="1">
        <v>2.2333416789853757E-2</v>
      </c>
      <c r="BM7" s="1">
        <v>6.4238481837103428E-2</v>
      </c>
      <c r="BO7" s="1">
        <v>4.3170590651152391E-2</v>
      </c>
      <c r="BP7" s="1">
        <v>1.3989243984300005E-2</v>
      </c>
      <c r="BQ7" s="1">
        <v>1.5751672441924384E-2</v>
      </c>
      <c r="BR7" s="1">
        <v>7.0589508860380401E-2</v>
      </c>
      <c r="BT7" s="1">
        <v>4.3621147396792563E-2</v>
      </c>
      <c r="BU7" s="1">
        <v>9.5362866156338544E-3</v>
      </c>
      <c r="BV7" s="1">
        <v>2.4930025630150208E-2</v>
      </c>
      <c r="BW7" s="1">
        <v>6.2312269163434922E-2</v>
      </c>
    </row>
    <row r="8" spans="1:75" x14ac:dyDescent="0.25">
      <c r="A8" t="s">
        <v>11</v>
      </c>
      <c r="B8" s="1">
        <v>7.7307867111111195E-3</v>
      </c>
      <c r="C8" s="1">
        <v>9.1949564602189331E-3</v>
      </c>
      <c r="D8" s="1">
        <v>1.3999999999999998E-5</v>
      </c>
      <c r="E8" s="1">
        <v>3.2639074999999948E-2</v>
      </c>
      <c r="G8" s="1">
        <v>4.0438804888888926E-3</v>
      </c>
      <c r="H8" s="1">
        <v>5.6918764011746241E-3</v>
      </c>
      <c r="I8" s="1">
        <v>4.9999999999999996E-6</v>
      </c>
      <c r="J8" s="1">
        <v>2.0118074999999951E-2</v>
      </c>
      <c r="L8" s="1">
        <v>8.1859766222221915E-3</v>
      </c>
      <c r="M8" s="1">
        <v>1.0300147345485493E-2</v>
      </c>
      <c r="N8" s="1">
        <v>1.2E-5</v>
      </c>
      <c r="O8" s="1">
        <v>3.6933624999999991E-2</v>
      </c>
      <c r="Q8" s="1">
        <v>7.6956550222221911E-3</v>
      </c>
      <c r="R8" s="1">
        <v>9.4743637938353911E-3</v>
      </c>
      <c r="S8" s="1">
        <v>1.2E-5</v>
      </c>
      <c r="T8" s="1">
        <v>3.3745824999999972E-2</v>
      </c>
      <c r="V8" s="1">
        <v>4.1063660266666697E-2</v>
      </c>
      <c r="W8" s="1">
        <v>3.0766999712728595E-2</v>
      </c>
      <c r="X8" s="1">
        <v>3.3047500000000005E-4</v>
      </c>
      <c r="Y8" s="1">
        <v>0.11191394999999991</v>
      </c>
      <c r="AA8" s="1">
        <v>0.16318071195555622</v>
      </c>
      <c r="AB8" s="1">
        <v>4.2224223316583959E-2</v>
      </c>
      <c r="AC8" s="1">
        <v>8.5879849999999994E-2</v>
      </c>
      <c r="AD8" s="1">
        <v>0.25133614999999998</v>
      </c>
      <c r="AF8" s="1">
        <v>0.26983977613333415</v>
      </c>
      <c r="AG8" s="1">
        <v>4.2035602403050619E-2</v>
      </c>
      <c r="AH8" s="1">
        <v>0.18919727499999997</v>
      </c>
      <c r="AI8" s="1">
        <v>0.354048525</v>
      </c>
      <c r="AK8" s="1">
        <v>0.84633151768888493</v>
      </c>
      <c r="AL8" s="1">
        <v>4.9290534151383208E-2</v>
      </c>
      <c r="AM8" s="1">
        <v>0.74667709999999998</v>
      </c>
      <c r="AN8" s="1">
        <v>0.93698725000000005</v>
      </c>
      <c r="AP8" s="1">
        <v>0.863670368444446</v>
      </c>
      <c r="AQ8" s="1">
        <v>3.6607403258628414E-2</v>
      </c>
      <c r="AR8" s="1">
        <v>0.78503812500000003</v>
      </c>
      <c r="AS8" s="1">
        <v>0.9268060749999999</v>
      </c>
      <c r="AU8" s="1">
        <v>0.95326607417777198</v>
      </c>
      <c r="AV8" s="1">
        <v>2.5242617551998164E-2</v>
      </c>
      <c r="AW8" s="1">
        <v>0.8941473499999999</v>
      </c>
      <c r="AX8" s="1">
        <v>0.992106775</v>
      </c>
      <c r="AZ8" s="1">
        <v>0.95935000000000004</v>
      </c>
      <c r="BA8" s="1">
        <v>1.934E-2</v>
      </c>
      <c r="BB8" s="1">
        <v>0.91200000000000003</v>
      </c>
      <c r="BC8" s="1">
        <v>0.98699999999999999</v>
      </c>
      <c r="BE8" s="1">
        <v>0.91859999999999997</v>
      </c>
      <c r="BF8" s="1">
        <v>3.082E-2</v>
      </c>
      <c r="BG8" s="1">
        <v>0.85199999999999998</v>
      </c>
      <c r="BH8" s="1">
        <v>0.97199999999999998</v>
      </c>
      <c r="BJ8" s="1">
        <v>0.23074034812737509</v>
      </c>
      <c r="BK8" s="1">
        <v>7.6610000436505947E-3</v>
      </c>
      <c r="BL8" s="1">
        <v>0.21572478804181994</v>
      </c>
      <c r="BM8" s="1">
        <v>0.24575590821293025</v>
      </c>
      <c r="BO8" s="1">
        <v>2.1611281813524424E-2</v>
      </c>
      <c r="BP8" s="1">
        <v>8.4938113271642527E-3</v>
      </c>
      <c r="BQ8" s="1">
        <v>4.9634116122824895E-3</v>
      </c>
      <c r="BR8" s="1">
        <v>3.8259152014766359E-2</v>
      </c>
      <c r="BT8" s="1">
        <v>0.83840743424022457</v>
      </c>
      <c r="BU8" s="1">
        <v>1.6916704356342863E-2</v>
      </c>
      <c r="BV8" s="1">
        <v>0.80525069370179259</v>
      </c>
      <c r="BW8" s="1">
        <v>0.87156417477865655</v>
      </c>
    </row>
    <row r="9" spans="1:75" x14ac:dyDescent="0.25">
      <c r="A9" t="s">
        <v>37</v>
      </c>
      <c r="B9" s="1">
        <v>1.1186634666666738E-3</v>
      </c>
      <c r="C9" s="1">
        <v>3.2350533907338072E-3</v>
      </c>
      <c r="D9" s="1">
        <v>0</v>
      </c>
      <c r="E9" s="1">
        <v>1.0753549999999952E-2</v>
      </c>
      <c r="G9" s="1">
        <v>1.1779817777777858E-3</v>
      </c>
      <c r="H9" s="1">
        <v>3.4659843129592285E-3</v>
      </c>
      <c r="I9" s="1">
        <v>0</v>
      </c>
      <c r="J9" s="1">
        <v>1.1160149999999987E-2</v>
      </c>
      <c r="L9" s="1">
        <v>1.3387711555555599E-3</v>
      </c>
      <c r="M9" s="1">
        <v>4.0814992158303177E-3</v>
      </c>
      <c r="N9" s="1">
        <v>0</v>
      </c>
      <c r="O9" s="1">
        <v>1.2751674999999985E-2</v>
      </c>
      <c r="Q9" s="1">
        <v>1.7555594666666646E-3</v>
      </c>
      <c r="R9" s="1">
        <v>4.5683126684395569E-3</v>
      </c>
      <c r="S9" s="1">
        <v>0</v>
      </c>
      <c r="T9" s="1">
        <v>1.5565049999999995E-2</v>
      </c>
      <c r="V9" s="1">
        <v>1.6444249155555309E-2</v>
      </c>
      <c r="W9" s="1">
        <v>2.3670803131034424E-2</v>
      </c>
      <c r="X9" s="1">
        <v>0</v>
      </c>
      <c r="Y9" s="1">
        <v>8.0369324999999936E-2</v>
      </c>
      <c r="AA9" s="1">
        <v>8.8919199555554263E-3</v>
      </c>
      <c r="AB9" s="1">
        <v>1.7772422303019546E-2</v>
      </c>
      <c r="AC9" s="1">
        <v>0</v>
      </c>
      <c r="AD9" s="1">
        <v>6.3586074999999867E-2</v>
      </c>
      <c r="AF9" s="1">
        <v>2.726593822222186E-3</v>
      </c>
      <c r="AG9" s="1">
        <v>7.1201867778519804E-3</v>
      </c>
      <c r="AH9" s="1">
        <v>0</v>
      </c>
      <c r="AI9" s="1">
        <v>2.5105674999999897E-2</v>
      </c>
      <c r="AK9" s="1">
        <v>0.11116091746666654</v>
      </c>
      <c r="AL9" s="1">
        <v>5.4410650530337147E-2</v>
      </c>
      <c r="AM9" s="1">
        <v>3.9999999999999998E-6</v>
      </c>
      <c r="AN9" s="1">
        <v>0.21631669999999995</v>
      </c>
      <c r="AP9" s="1">
        <v>0.13539931093333243</v>
      </c>
      <c r="AQ9" s="1">
        <v>4.542734291849896E-2</v>
      </c>
      <c r="AR9" s="1">
        <v>5.3768150000000001E-2</v>
      </c>
      <c r="AS9" s="1">
        <v>0.23072857499999999</v>
      </c>
      <c r="AU9" s="1">
        <v>0.23956706217777843</v>
      </c>
      <c r="AV9" s="1">
        <v>4.4770072358282557E-2</v>
      </c>
      <c r="AW9" s="1">
        <v>0.153925175</v>
      </c>
      <c r="AX9" s="1">
        <v>0.32992814999999998</v>
      </c>
      <c r="AZ9" s="1">
        <v>0.35444999999999999</v>
      </c>
      <c r="BA9" s="1">
        <v>5.0639999999999998E-2</v>
      </c>
      <c r="BB9" s="1">
        <v>0.25800000000000001</v>
      </c>
      <c r="BC9" s="1">
        <v>0.45500000000000002</v>
      </c>
      <c r="BE9" s="1">
        <v>0.40462000000000004</v>
      </c>
      <c r="BF9" s="1">
        <v>4.7169999999999997E-2</v>
      </c>
      <c r="BG9" s="1">
        <v>0.314</v>
      </c>
      <c r="BH9" s="1">
        <v>0.49700000000000005</v>
      </c>
      <c r="BJ9" s="1">
        <v>5.9784765356248812E-2</v>
      </c>
      <c r="BK9" s="1">
        <v>6.987947552364886E-3</v>
      </c>
      <c r="BL9" s="1">
        <v>4.6088388153613637E-2</v>
      </c>
      <c r="BM9" s="1">
        <v>7.3481142558883994E-2</v>
      </c>
      <c r="BO9" s="1">
        <v>5.2850277872768525E-3</v>
      </c>
      <c r="BP9" s="1">
        <v>5.8790302669527389E-3</v>
      </c>
      <c r="BQ9" s="1">
        <v>0</v>
      </c>
      <c r="BR9" s="1">
        <v>1.6807927110504221E-2</v>
      </c>
      <c r="BT9" s="1">
        <v>0.21814485038025383</v>
      </c>
      <c r="BU9" s="1">
        <v>2.1285686917373262E-2</v>
      </c>
      <c r="BV9" s="1">
        <v>0.17642490402220223</v>
      </c>
      <c r="BW9" s="1">
        <v>0.25986479673830543</v>
      </c>
    </row>
    <row r="10" spans="1:75" x14ac:dyDescent="0.25">
      <c r="A10" t="s">
        <v>38</v>
      </c>
      <c r="B10" s="1">
        <v>3.1788890222221766E-3</v>
      </c>
      <c r="C10" s="1">
        <v>6.7794575155444023E-3</v>
      </c>
      <c r="D10" s="1">
        <v>0</v>
      </c>
      <c r="E10" s="1">
        <v>2.4002624999999989E-2</v>
      </c>
      <c r="G10" s="1">
        <v>1.097818488888887E-3</v>
      </c>
      <c r="H10" s="1">
        <v>3.0751279232394493E-3</v>
      </c>
      <c r="I10" s="1">
        <v>0</v>
      </c>
      <c r="J10" s="1">
        <v>9.6050999999999914E-3</v>
      </c>
      <c r="L10" s="1">
        <v>4.0377738666666349E-3</v>
      </c>
      <c r="M10" s="1">
        <v>8.1897203865264629E-3</v>
      </c>
      <c r="N10" s="1">
        <v>0</v>
      </c>
      <c r="O10" s="1">
        <v>2.9347649999999854E-2</v>
      </c>
      <c r="Q10" s="1">
        <v>1.8584082666666538E-3</v>
      </c>
      <c r="R10" s="1">
        <v>4.6993381468584559E-3</v>
      </c>
      <c r="S10" s="1">
        <v>0</v>
      </c>
      <c r="T10" s="1">
        <v>1.6377924999999963E-2</v>
      </c>
      <c r="V10" s="1">
        <v>1.9645959955555497E-2</v>
      </c>
      <c r="W10" s="1">
        <v>2.3717832869697003E-2</v>
      </c>
      <c r="X10" s="1">
        <v>0</v>
      </c>
      <c r="Y10" s="1">
        <v>8.0549624999999986E-2</v>
      </c>
      <c r="AA10" s="1">
        <v>0.10997138342222221</v>
      </c>
      <c r="AB10" s="1">
        <v>5.0600233356299505E-2</v>
      </c>
      <c r="AC10" s="1">
        <v>5.0372250000000002E-3</v>
      </c>
      <c r="AD10" s="1">
        <v>0.2123170999999999</v>
      </c>
      <c r="AF10" s="1">
        <v>0.18436838053333404</v>
      </c>
      <c r="AG10" s="1">
        <v>5.5734392037666593E-2</v>
      </c>
      <c r="AH10" s="1">
        <v>6.7420050000000009E-2</v>
      </c>
      <c r="AI10" s="1">
        <v>0.28422464999999997</v>
      </c>
      <c r="AK10" s="1">
        <v>0.38913578560000112</v>
      </c>
      <c r="AL10" s="1">
        <v>7.8131243195743702E-2</v>
      </c>
      <c r="AM10" s="1">
        <v>0.243818325</v>
      </c>
      <c r="AN10" s="1">
        <v>0.54683367499999991</v>
      </c>
      <c r="AP10" s="1">
        <v>0.35448308795555533</v>
      </c>
      <c r="AQ10" s="1">
        <v>7.3651003080405383E-2</v>
      </c>
      <c r="AR10" s="1">
        <v>0.21922317499999999</v>
      </c>
      <c r="AS10" s="1">
        <v>0.51096057499999981</v>
      </c>
      <c r="AU10" s="1">
        <v>0.29102465271111144</v>
      </c>
      <c r="AV10" s="1">
        <v>6.8914054768701605E-2</v>
      </c>
      <c r="AW10" s="1">
        <v>0.157851925</v>
      </c>
      <c r="AX10" s="1">
        <v>0.42704834999999997</v>
      </c>
      <c r="AZ10" s="1">
        <v>0.37386000000000003</v>
      </c>
      <c r="BA10" s="1">
        <v>6.991E-2</v>
      </c>
      <c r="BB10" s="1">
        <v>0.23800000000000002</v>
      </c>
      <c r="BC10" s="1">
        <v>0.50600000000000001</v>
      </c>
      <c r="BE10" s="1">
        <v>0.22899999999999998</v>
      </c>
      <c r="BF10" s="1">
        <v>5.672E-2</v>
      </c>
      <c r="BG10" s="1">
        <v>0.122</v>
      </c>
      <c r="BH10" s="1">
        <v>0.34299999999999997</v>
      </c>
      <c r="BJ10" s="1">
        <v>8.8167565343637441E-2</v>
      </c>
      <c r="BK10" s="1">
        <v>9.1988149898220399E-3</v>
      </c>
      <c r="BL10" s="1">
        <v>7.0137887963586248E-2</v>
      </c>
      <c r="BM10" s="1">
        <v>0.10619724272368863</v>
      </c>
      <c r="BO10" s="1">
        <v>1.0999221089975766E-2</v>
      </c>
      <c r="BP10" s="1">
        <v>6.5088852229666034E-3</v>
      </c>
      <c r="BQ10" s="1">
        <v>0</v>
      </c>
      <c r="BR10" s="1">
        <v>2.3756636126990308E-2</v>
      </c>
      <c r="BT10" s="1">
        <v>0.31239590298849457</v>
      </c>
      <c r="BU10" s="1">
        <v>3.0546891650128555E-2</v>
      </c>
      <c r="BV10" s="1">
        <v>0.25252399535424258</v>
      </c>
      <c r="BW10" s="1">
        <v>0.37226781062274655</v>
      </c>
    </row>
    <row r="11" spans="1:75" x14ac:dyDescent="0.25">
      <c r="A11" t="s">
        <v>39</v>
      </c>
      <c r="B11" s="1">
        <v>2.6087258222221889E-3</v>
      </c>
      <c r="C11" s="1">
        <v>5.2293109161522591E-3</v>
      </c>
      <c r="D11" s="1">
        <v>0</v>
      </c>
      <c r="E11" s="1">
        <v>1.8351674999999897E-2</v>
      </c>
      <c r="G11" s="1">
        <v>1.1060400888888906E-3</v>
      </c>
      <c r="H11" s="1">
        <v>2.6572449618909176E-3</v>
      </c>
      <c r="I11" s="1">
        <v>0</v>
      </c>
      <c r="J11" s="1">
        <v>8.7105249999999985E-3</v>
      </c>
      <c r="L11" s="1">
        <v>2.0543440888888525E-3</v>
      </c>
      <c r="M11" s="1">
        <v>4.5768625333019158E-3</v>
      </c>
      <c r="N11" s="1">
        <v>0</v>
      </c>
      <c r="O11" s="1">
        <v>1.586509999999999E-2</v>
      </c>
      <c r="Q11" s="1">
        <v>3.4665652444444048E-3</v>
      </c>
      <c r="R11" s="1">
        <v>6.8575723788983078E-3</v>
      </c>
      <c r="S11" s="1">
        <v>0</v>
      </c>
      <c r="T11" s="1">
        <v>2.416372499999998E-2</v>
      </c>
      <c r="V11" s="1">
        <v>3.8518075111110906E-3</v>
      </c>
      <c r="W11" s="1">
        <v>8.1994350055917299E-3</v>
      </c>
      <c r="X11" s="1">
        <v>0</v>
      </c>
      <c r="Y11" s="1">
        <v>2.8941524999999999E-2</v>
      </c>
      <c r="AA11" s="1">
        <v>4.3321646533332904E-2</v>
      </c>
      <c r="AB11" s="1">
        <v>4.1241617634226867E-2</v>
      </c>
      <c r="AC11" s="1">
        <v>0</v>
      </c>
      <c r="AD11" s="1">
        <v>0.14104424999999998</v>
      </c>
      <c r="AF11" s="1">
        <v>3.0936233911110927E-2</v>
      </c>
      <c r="AG11" s="1">
        <v>3.807150010565858E-2</v>
      </c>
      <c r="AH11" s="1">
        <v>0</v>
      </c>
      <c r="AI11" s="1">
        <v>0.12376594999999992</v>
      </c>
      <c r="AK11" s="1">
        <v>0.20783078022222129</v>
      </c>
      <c r="AL11" s="1">
        <v>6.4042649056367709E-2</v>
      </c>
      <c r="AM11" s="1">
        <v>8.8973400000000008E-2</v>
      </c>
      <c r="AN11" s="1">
        <v>0.33718499999999962</v>
      </c>
      <c r="AP11" s="1">
        <v>0.21777767262222261</v>
      </c>
      <c r="AQ11" s="1">
        <v>6.4923117154703197E-2</v>
      </c>
      <c r="AR11" s="1">
        <v>9.2669749999999995E-2</v>
      </c>
      <c r="AS11" s="1">
        <v>0.34744139999999996</v>
      </c>
      <c r="AU11" s="1">
        <v>0.24137262928889003</v>
      </c>
      <c r="AV11" s="1">
        <v>6.1198362540881852E-2</v>
      </c>
      <c r="AW11" s="1">
        <v>0.1305385</v>
      </c>
      <c r="AX11" s="1">
        <v>0.3682964999999998</v>
      </c>
      <c r="AZ11" s="1">
        <v>5.4009999999999996E-2</v>
      </c>
      <c r="BA11" s="1">
        <v>4.6809999999999997E-2</v>
      </c>
      <c r="BB11" s="1">
        <v>0</v>
      </c>
      <c r="BC11" s="1">
        <v>0.16</v>
      </c>
      <c r="BE11" s="1">
        <v>0.1033</v>
      </c>
      <c r="BF11" s="1">
        <v>4.9820000000000003E-2</v>
      </c>
      <c r="BG11" s="1">
        <v>1E-3</v>
      </c>
      <c r="BH11" s="1">
        <v>0.20499999999999999</v>
      </c>
      <c r="BJ11" s="1">
        <v>4.3013424080151109E-2</v>
      </c>
      <c r="BK11" s="1">
        <v>7.0043959291656421E-3</v>
      </c>
      <c r="BL11" s="1">
        <v>2.928480805898645E-2</v>
      </c>
      <c r="BM11" s="1">
        <v>5.6742040101315769E-2</v>
      </c>
      <c r="BO11" s="1">
        <v>4.5313632945510407E-3</v>
      </c>
      <c r="BP11" s="1">
        <v>3.6178291562903794E-3</v>
      </c>
      <c r="BQ11" s="1">
        <v>0</v>
      </c>
      <c r="BR11" s="1">
        <v>1.1622308440880184E-2</v>
      </c>
      <c r="BT11" s="1">
        <v>0.15483088760819627</v>
      </c>
      <c r="BU11" s="1">
        <v>2.525670893061879E-2</v>
      </c>
      <c r="BV11" s="1">
        <v>0.10532773810418344</v>
      </c>
      <c r="BW11" s="1">
        <v>0.2043340371122091</v>
      </c>
    </row>
    <row r="12" spans="1:75" x14ac:dyDescent="0.25">
      <c r="A12" t="s">
        <v>14</v>
      </c>
      <c r="B12" s="1">
        <v>8.7744737777777635E-4</v>
      </c>
      <c r="C12" s="1">
        <v>3.3796073998871856E-3</v>
      </c>
      <c r="D12" s="1">
        <v>0</v>
      </c>
      <c r="E12" s="1">
        <v>1.113772499999998E-2</v>
      </c>
      <c r="G12" s="1">
        <v>2.1543280000000097E-4</v>
      </c>
      <c r="H12" s="1">
        <v>1.1416394587910694E-3</v>
      </c>
      <c r="I12" s="1">
        <v>0</v>
      </c>
      <c r="J12" s="1">
        <v>2.5415249999999976E-3</v>
      </c>
      <c r="L12" s="1">
        <v>5.9235822222221889E-4</v>
      </c>
      <c r="M12" s="1">
        <v>2.6520330328254189E-3</v>
      </c>
      <c r="N12" s="1">
        <v>0</v>
      </c>
      <c r="O12" s="1">
        <v>7.2636249999999888E-3</v>
      </c>
      <c r="Q12" s="1">
        <v>2.3505177777777923E-4</v>
      </c>
      <c r="R12" s="1">
        <v>1.2532370548444954E-3</v>
      </c>
      <c r="S12" s="1">
        <v>0</v>
      </c>
      <c r="T12" s="1">
        <v>2.5365249999999978E-3</v>
      </c>
      <c r="V12" s="1">
        <v>1.0218093777777763E-3</v>
      </c>
      <c r="W12" s="1">
        <v>4.5545303900694743E-3</v>
      </c>
      <c r="X12" s="1">
        <v>0</v>
      </c>
      <c r="Y12" s="1">
        <v>1.2874299999999974E-2</v>
      </c>
      <c r="AA12" s="1">
        <v>1.2589663466666517E-2</v>
      </c>
      <c r="AB12" s="1">
        <v>2.43007046584022E-2</v>
      </c>
      <c r="AC12" s="1">
        <v>0</v>
      </c>
      <c r="AD12" s="1">
        <v>8.5087049999999914E-2</v>
      </c>
      <c r="AF12" s="1">
        <v>2.6183026711110773E-2</v>
      </c>
      <c r="AG12" s="1">
        <v>3.6713351987904812E-2</v>
      </c>
      <c r="AH12" s="1">
        <v>0</v>
      </c>
      <c r="AI12" s="1">
        <v>0.11818034999999998</v>
      </c>
      <c r="AK12" s="1">
        <v>3.9007210666666251E-3</v>
      </c>
      <c r="AL12" s="1">
        <v>1.4242796553294511E-2</v>
      </c>
      <c r="AM12" s="1">
        <v>0</v>
      </c>
      <c r="AN12" s="1">
        <v>5.1208999999999734E-2</v>
      </c>
      <c r="AP12" s="1">
        <v>6.0234724222222515E-2</v>
      </c>
      <c r="AQ12" s="1">
        <v>6.7485868753846628E-2</v>
      </c>
      <c r="AR12" s="1">
        <v>0</v>
      </c>
      <c r="AS12" s="1">
        <v>0.21140252499999948</v>
      </c>
      <c r="AU12" s="1">
        <v>1.4236214533333217E-2</v>
      </c>
      <c r="AV12" s="1">
        <v>3.0039022971035653E-2</v>
      </c>
      <c r="AW12" s="1">
        <v>0</v>
      </c>
      <c r="AX12" s="1">
        <v>0.10912264999999977</v>
      </c>
      <c r="AZ12" s="1">
        <v>2.5990000000000003E-2</v>
      </c>
      <c r="BA12" s="1">
        <v>3.6819999999999999E-2</v>
      </c>
      <c r="BB12" s="1">
        <v>0</v>
      </c>
      <c r="BC12" s="1">
        <v>0.12300000000000001</v>
      </c>
      <c r="BE12" s="1">
        <v>0.10167</v>
      </c>
      <c r="BF12" s="1">
        <v>4.9739999999999999E-2</v>
      </c>
      <c r="BG12" s="1">
        <v>1E-3</v>
      </c>
      <c r="BH12" s="1">
        <v>0.20300000000000001</v>
      </c>
      <c r="BJ12" s="1">
        <v>1.0204338444026656E-2</v>
      </c>
      <c r="BK12" s="1">
        <v>4.1259686015787441E-3</v>
      </c>
      <c r="BL12" s="1">
        <v>2.1174399849323185E-3</v>
      </c>
      <c r="BM12" s="1">
        <v>1.8291236903120994E-2</v>
      </c>
      <c r="BO12" s="1">
        <v>1.0337405634476778E-3</v>
      </c>
      <c r="BP12" s="1">
        <v>1.6858361324527899E-3</v>
      </c>
      <c r="BQ12" s="1">
        <v>0</v>
      </c>
      <c r="BR12" s="1">
        <v>4.3379793830551454E-3</v>
      </c>
      <c r="BT12" s="1">
        <v>3.6851377950438011E-2</v>
      </c>
      <c r="BU12" s="1">
        <v>1.53522448692461E-2</v>
      </c>
      <c r="BV12" s="1">
        <v>6.7609780067156566E-3</v>
      </c>
      <c r="BW12" s="1">
        <v>6.6941777894160365E-2</v>
      </c>
    </row>
    <row r="13" spans="1:75" x14ac:dyDescent="0.25">
      <c r="A13" t="s">
        <v>15</v>
      </c>
      <c r="B13" s="1">
        <v>1.7312784444444272E-3</v>
      </c>
      <c r="C13" s="1">
        <v>4.0916425254690749E-3</v>
      </c>
      <c r="D13" s="1">
        <v>0</v>
      </c>
      <c r="E13" s="1">
        <v>1.4320099999999992E-2</v>
      </c>
      <c r="G13" s="1">
        <v>8.906072888888837E-4</v>
      </c>
      <c r="H13" s="1">
        <v>2.4100272636117396E-3</v>
      </c>
      <c r="I13" s="1">
        <v>0</v>
      </c>
      <c r="J13" s="1">
        <v>7.6906249999999891E-3</v>
      </c>
      <c r="L13" s="1">
        <v>1.4619858666666773E-3</v>
      </c>
      <c r="M13" s="1">
        <v>3.7414577662707527E-3</v>
      </c>
      <c r="N13" s="1">
        <v>0</v>
      </c>
      <c r="O13" s="1">
        <v>1.2792299999999973E-2</v>
      </c>
      <c r="Q13" s="1">
        <v>3.2315134666666212E-3</v>
      </c>
      <c r="R13" s="1">
        <v>6.7626837093432519E-3</v>
      </c>
      <c r="S13" s="1">
        <v>0</v>
      </c>
      <c r="T13" s="1">
        <v>2.3795149999999987E-2</v>
      </c>
      <c r="V13" s="1">
        <v>2.8299981333332895E-3</v>
      </c>
      <c r="W13" s="1">
        <v>6.8482002358913659E-3</v>
      </c>
      <c r="X13" s="1">
        <v>0</v>
      </c>
      <c r="Y13" s="1">
        <v>2.4126099999999991E-2</v>
      </c>
      <c r="AA13" s="1">
        <v>3.0731983066666295E-2</v>
      </c>
      <c r="AB13" s="1">
        <v>3.4076979875325181E-2</v>
      </c>
      <c r="AC13" s="1">
        <v>0</v>
      </c>
      <c r="AD13" s="1">
        <v>0.11295824999999997</v>
      </c>
      <c r="AF13" s="1">
        <v>4.7532071999999469E-3</v>
      </c>
      <c r="AG13" s="1">
        <v>1.1234954522831771E-2</v>
      </c>
      <c r="AH13" s="1">
        <v>0</v>
      </c>
      <c r="AI13" s="1">
        <v>4.0653599999999859E-2</v>
      </c>
      <c r="AK13" s="1">
        <v>0.2039300591555557</v>
      </c>
      <c r="AL13" s="1">
        <v>6.4136518437306542E-2</v>
      </c>
      <c r="AM13" s="1">
        <v>8.5004899999999994E-2</v>
      </c>
      <c r="AN13" s="1">
        <v>0.3339864999999998</v>
      </c>
      <c r="AP13" s="1">
        <v>0.1575429484000003</v>
      </c>
      <c r="AQ13" s="1">
        <v>6.6989406411814209E-2</v>
      </c>
      <c r="AR13" s="1">
        <v>2.0420775000000002E-2</v>
      </c>
      <c r="AS13" s="1">
        <v>0.28415067499999991</v>
      </c>
      <c r="AU13" s="1">
        <v>0.22713641475555568</v>
      </c>
      <c r="AV13" s="1">
        <v>5.5717366878902205E-2</v>
      </c>
      <c r="AW13" s="1">
        <v>0.12407915</v>
      </c>
      <c r="AX13" s="1">
        <v>0.34231002499999974</v>
      </c>
      <c r="AZ13" s="1">
        <v>2.8069999999999998E-2</v>
      </c>
      <c r="BA13" s="1">
        <v>3.9469999999999998E-2</v>
      </c>
      <c r="BB13" s="1">
        <v>0</v>
      </c>
      <c r="BC13" s="1">
        <v>0.13</v>
      </c>
      <c r="BE13" s="1">
        <v>1.72E-3</v>
      </c>
      <c r="BF13" s="1">
        <v>6.6700000000000006E-3</v>
      </c>
      <c r="BG13" s="1">
        <v>0</v>
      </c>
      <c r="BH13" s="1">
        <v>2.3E-2</v>
      </c>
      <c r="BJ13" s="1">
        <v>3.2815514722420239E-2</v>
      </c>
      <c r="BK13" s="1">
        <v>6.1775706398507317E-3</v>
      </c>
      <c r="BL13" s="1">
        <v>2.0707476268312805E-2</v>
      </c>
      <c r="BM13" s="1">
        <v>4.4923553176527672E-2</v>
      </c>
      <c r="BO13" s="1">
        <v>3.4976227311033633E-3</v>
      </c>
      <c r="BP13" s="1">
        <v>3.223636630973665E-3</v>
      </c>
      <c r="BQ13" s="1">
        <v>0</v>
      </c>
      <c r="BR13" s="1">
        <v>9.8159505278117461E-3</v>
      </c>
      <c r="BT13" s="1">
        <v>0.11800461976341015</v>
      </c>
      <c r="BU13" s="1">
        <v>2.2235318246113574E-2</v>
      </c>
      <c r="BV13" s="1">
        <v>7.4423396001027542E-2</v>
      </c>
      <c r="BW13" s="1">
        <v>0.16158584352579275</v>
      </c>
    </row>
    <row r="14" spans="1:75" x14ac:dyDescent="0.25">
      <c r="A14" t="s">
        <v>40</v>
      </c>
      <c r="B14" s="1">
        <v>8.2450839999999846E-4</v>
      </c>
      <c r="C14" s="1">
        <v>2.5227185321677289E-3</v>
      </c>
      <c r="D14" s="1">
        <v>0</v>
      </c>
      <c r="E14" s="1">
        <v>7.9070999999999916E-3</v>
      </c>
      <c r="G14" s="1">
        <v>6.6204013333332618E-4</v>
      </c>
      <c r="H14" s="1">
        <v>2.0758985524941104E-3</v>
      </c>
      <c r="I14" s="1">
        <v>0</v>
      </c>
      <c r="J14" s="1">
        <v>6.382624999999989E-3</v>
      </c>
      <c r="L14" s="1">
        <v>7.5508751111110428E-4</v>
      </c>
      <c r="M14" s="1">
        <v>2.3155051290395874E-3</v>
      </c>
      <c r="N14" s="1">
        <v>0</v>
      </c>
      <c r="O14" s="1">
        <v>7.1105249999999978E-3</v>
      </c>
      <c r="Q14" s="1">
        <v>6.1512204444443648E-4</v>
      </c>
      <c r="R14" s="1">
        <v>1.896543395428375E-3</v>
      </c>
      <c r="S14" s="1">
        <v>0</v>
      </c>
      <c r="T14" s="1">
        <v>5.8532999999999736E-3</v>
      </c>
      <c r="V14" s="1">
        <v>1.1216436444444493E-3</v>
      </c>
      <c r="W14" s="1">
        <v>3.2692741342254987E-3</v>
      </c>
      <c r="X14" s="1">
        <v>0</v>
      </c>
      <c r="Y14" s="1">
        <v>1.0709774999999977E-2</v>
      </c>
      <c r="AA14" s="1">
        <v>9.9576204444444798E-4</v>
      </c>
      <c r="AB14" s="1">
        <v>3.0626873345819612E-3</v>
      </c>
      <c r="AC14" s="1">
        <v>0</v>
      </c>
      <c r="AD14" s="1">
        <v>9.4077249999999796E-3</v>
      </c>
      <c r="AF14" s="1">
        <v>5.180856786666637E-2</v>
      </c>
      <c r="AG14" s="1">
        <v>1.7733269057459627E-2</v>
      </c>
      <c r="AH14" s="1">
        <v>2.2604900000000001E-2</v>
      </c>
      <c r="AI14" s="1">
        <v>9.1438949999999922E-2</v>
      </c>
      <c r="AK14" s="1">
        <v>0.13820403439999968</v>
      </c>
      <c r="AL14" s="1">
        <v>2.6880063972763272E-2</v>
      </c>
      <c r="AM14" s="1">
        <v>8.9550350000000001E-2</v>
      </c>
      <c r="AN14" s="1">
        <v>0.19398744999999998</v>
      </c>
      <c r="AP14" s="1">
        <v>0.15601029693333299</v>
      </c>
      <c r="AQ14" s="1">
        <v>2.973633626493281E-2</v>
      </c>
      <c r="AR14" s="1">
        <v>0.101952475</v>
      </c>
      <c r="AS14" s="1">
        <v>0.21771967499999997</v>
      </c>
      <c r="AU14" s="1">
        <v>0.18130173000000022</v>
      </c>
      <c r="AV14" s="1">
        <v>3.2043355564740077E-2</v>
      </c>
      <c r="AW14" s="1">
        <v>0.12286409999999999</v>
      </c>
      <c r="AX14" s="1">
        <v>0.24855492499999995</v>
      </c>
      <c r="AZ14" s="1">
        <v>0.17675999999999997</v>
      </c>
      <c r="BA14" s="1">
        <v>3.1869999999999996E-2</v>
      </c>
      <c r="BB14" s="1">
        <v>0.11900000000000001</v>
      </c>
      <c r="BC14" s="1">
        <v>0.24301999999999999</v>
      </c>
      <c r="BE14" s="1">
        <v>0.18164000000000002</v>
      </c>
      <c r="BF14" s="1">
        <v>3.5560000000000001E-2</v>
      </c>
      <c r="BG14" s="1">
        <v>0.11699999999999999</v>
      </c>
      <c r="BH14" s="1">
        <v>0.255</v>
      </c>
      <c r="BJ14" s="1">
        <v>3.9763232959611032E-2</v>
      </c>
      <c r="BK14" s="1">
        <v>3.4744130237410976E-3</v>
      </c>
      <c r="BL14" s="1">
        <v>3.2953383433078479E-2</v>
      </c>
      <c r="BM14" s="1">
        <v>4.6573082486143585E-2</v>
      </c>
      <c r="BO14" s="1">
        <v>7.9566964172061105E-4</v>
      </c>
      <c r="BP14" s="1">
        <v>1.1949132796210144E-3</v>
      </c>
      <c r="BQ14" s="1">
        <v>0</v>
      </c>
      <c r="BR14" s="1">
        <v>3.1376996697777991E-3</v>
      </c>
      <c r="BT14" s="1">
        <v>0.15299142295575288</v>
      </c>
      <c r="BU14" s="1">
        <v>1.3118323830675372E-2</v>
      </c>
      <c r="BV14" s="1">
        <v>0.12727950824762915</v>
      </c>
      <c r="BW14" s="1">
        <v>0.17870333766387661</v>
      </c>
    </row>
    <row r="15" spans="1:75" x14ac:dyDescent="0.25">
      <c r="A15" t="s">
        <v>17</v>
      </c>
      <c r="B15" s="1">
        <v>6.2647213333332744E-4</v>
      </c>
      <c r="C15" s="1">
        <v>2.2827596544063222E-3</v>
      </c>
      <c r="D15" s="1">
        <v>0</v>
      </c>
      <c r="E15" s="1">
        <v>6.7342499999999781E-3</v>
      </c>
      <c r="G15" s="1">
        <v>4.2373702222222117E-4</v>
      </c>
      <c r="H15" s="1">
        <v>1.603733123751408E-3</v>
      </c>
      <c r="I15" s="1">
        <v>0</v>
      </c>
      <c r="J15" s="1">
        <v>4.5490999999999917E-3</v>
      </c>
      <c r="L15" s="1">
        <v>4.3082173333333206E-4</v>
      </c>
      <c r="M15" s="1">
        <v>1.6189981190145115E-3</v>
      </c>
      <c r="N15" s="1">
        <v>0</v>
      </c>
      <c r="O15" s="1">
        <v>4.7100999999999914E-3</v>
      </c>
      <c r="Q15" s="1">
        <v>4.0571195555555797E-4</v>
      </c>
      <c r="R15" s="1">
        <v>1.5255621092121066E-3</v>
      </c>
      <c r="S15" s="1">
        <v>0</v>
      </c>
      <c r="T15" s="1">
        <v>4.5144499999999607E-3</v>
      </c>
      <c r="V15" s="1">
        <v>7.1381217777776915E-4</v>
      </c>
      <c r="W15" s="1">
        <v>2.5612303361479231E-3</v>
      </c>
      <c r="X15" s="1">
        <v>0</v>
      </c>
      <c r="Y15" s="1">
        <v>7.7888249999999715E-3</v>
      </c>
      <c r="AA15" s="1">
        <v>5.8465466666666078E-4</v>
      </c>
      <c r="AB15" s="1">
        <v>2.2025221526906467E-3</v>
      </c>
      <c r="AC15" s="1">
        <v>0</v>
      </c>
      <c r="AD15" s="1">
        <v>6.2426249999999886E-3</v>
      </c>
      <c r="AF15" s="1">
        <v>5.076794848888877E-2</v>
      </c>
      <c r="AG15" s="1">
        <v>1.7213169060497593E-2</v>
      </c>
      <c r="AH15" s="1">
        <v>2.22615E-2</v>
      </c>
      <c r="AI15" s="1">
        <v>8.9035050000000004E-2</v>
      </c>
      <c r="AK15" s="1">
        <v>0.1378317928888883</v>
      </c>
      <c r="AL15" s="1">
        <v>2.6832777961639513E-2</v>
      </c>
      <c r="AM15" s="1">
        <v>8.9163624999999996E-2</v>
      </c>
      <c r="AN15" s="1">
        <v>0.19339632499999992</v>
      </c>
      <c r="AP15" s="1">
        <v>0.15565055595555491</v>
      </c>
      <c r="AQ15" s="1">
        <v>2.9695540343431595E-2</v>
      </c>
      <c r="AR15" s="1">
        <v>0.10165442499999999</v>
      </c>
      <c r="AS15" s="1">
        <v>0.21717564999999994</v>
      </c>
      <c r="AU15" s="1">
        <v>0.18092241160000019</v>
      </c>
      <c r="AV15" s="1">
        <v>3.1978139870023466E-2</v>
      </c>
      <c r="AW15" s="1">
        <v>0.12263877500000001</v>
      </c>
      <c r="AX15" s="1">
        <v>0.24794967499999998</v>
      </c>
      <c r="AZ15" s="1">
        <v>0.17550000000000002</v>
      </c>
      <c r="BA15" s="1">
        <v>3.1560000000000005E-2</v>
      </c>
      <c r="BB15" s="1">
        <v>0.11800000000000001</v>
      </c>
      <c r="BC15" s="1">
        <v>0.24100000000000002</v>
      </c>
      <c r="BE15" s="1">
        <v>0.15098</v>
      </c>
      <c r="BF15" s="1">
        <v>2.8820000000000002E-2</v>
      </c>
      <c r="BG15" s="1">
        <v>9.9000000000000005E-2</v>
      </c>
      <c r="BH15" s="1">
        <v>0.21202000000000001</v>
      </c>
      <c r="BJ15" s="1">
        <v>3.7811811845235604E-2</v>
      </c>
      <c r="BK15" s="1">
        <v>3.23969396339745E-3</v>
      </c>
      <c r="BL15" s="1">
        <v>3.1462011676976605E-2</v>
      </c>
      <c r="BM15" s="1">
        <v>4.4161612013494604E-2</v>
      </c>
      <c r="BO15" s="1">
        <v>4.9715036160588024E-4</v>
      </c>
      <c r="BP15" s="1">
        <v>9.1471038017206733E-4</v>
      </c>
      <c r="BQ15" s="1">
        <v>0</v>
      </c>
      <c r="BR15" s="1">
        <v>2.2899827067431322E-3</v>
      </c>
      <c r="BT15" s="1">
        <v>0.14623715898954542</v>
      </c>
      <c r="BU15" s="1">
        <v>1.2370986055511835E-2</v>
      </c>
      <c r="BV15" s="1">
        <v>0.12199002632074223</v>
      </c>
      <c r="BW15" s="1">
        <v>0.17048429165834861</v>
      </c>
    </row>
    <row r="16" spans="1:75" x14ac:dyDescent="0.25">
      <c r="A16" t="s">
        <v>18</v>
      </c>
      <c r="B16" s="1">
        <v>1.9803626666666752E-4</v>
      </c>
      <c r="C16" s="1">
        <v>1.080235269284601E-3</v>
      </c>
      <c r="D16" s="1">
        <v>0</v>
      </c>
      <c r="E16" s="1">
        <v>2.2510499999999958E-3</v>
      </c>
      <c r="G16" s="1">
        <v>2.3830311111111248E-4</v>
      </c>
      <c r="H16" s="1">
        <v>1.3220729608324413E-3</v>
      </c>
      <c r="I16" s="1">
        <v>0</v>
      </c>
      <c r="J16" s="1">
        <v>2.6911999999999826E-3</v>
      </c>
      <c r="L16" s="1">
        <v>3.2426577777778121E-4</v>
      </c>
      <c r="M16" s="1">
        <v>1.6611161333868587E-3</v>
      </c>
      <c r="N16" s="1">
        <v>0</v>
      </c>
      <c r="O16" s="1">
        <v>3.8419249999999631E-3</v>
      </c>
      <c r="Q16" s="1">
        <v>2.0941008888888916E-4</v>
      </c>
      <c r="R16" s="1">
        <v>1.1104069064508169E-3</v>
      </c>
      <c r="S16" s="1">
        <v>0</v>
      </c>
      <c r="T16" s="1">
        <v>2.4470999999999911E-3</v>
      </c>
      <c r="V16" s="1">
        <v>4.0783146666666781E-4</v>
      </c>
      <c r="W16" s="1">
        <v>2.0074777053989325E-3</v>
      </c>
      <c r="X16" s="1">
        <v>0</v>
      </c>
      <c r="Y16" s="1">
        <v>4.9064499999999607E-3</v>
      </c>
      <c r="AA16" s="1">
        <v>4.1110737777778043E-4</v>
      </c>
      <c r="AB16" s="1">
        <v>2.1452212048239652E-3</v>
      </c>
      <c r="AC16" s="1">
        <v>0</v>
      </c>
      <c r="AD16" s="1">
        <v>4.7600000000000003E-3</v>
      </c>
      <c r="AF16" s="1">
        <v>1.0406193777777765E-3</v>
      </c>
      <c r="AG16" s="1">
        <v>4.1737500887126869E-3</v>
      </c>
      <c r="AH16" s="1">
        <v>0</v>
      </c>
      <c r="AI16" s="1">
        <v>1.3158399999999966E-2</v>
      </c>
      <c r="AK16" s="1">
        <v>3.7224151111111452E-4</v>
      </c>
      <c r="AL16" s="1">
        <v>1.8468768219242668E-3</v>
      </c>
      <c r="AM16" s="1">
        <v>0</v>
      </c>
      <c r="AN16" s="1">
        <v>4.5345249999999976E-3</v>
      </c>
      <c r="AP16" s="1">
        <v>3.5974097777778148E-4</v>
      </c>
      <c r="AQ16" s="1">
        <v>1.8717183444095168E-3</v>
      </c>
      <c r="AR16" s="1">
        <v>0</v>
      </c>
      <c r="AS16" s="1">
        <v>4.1646749999999849E-3</v>
      </c>
      <c r="AU16" s="1">
        <v>3.7931840000000536E-4</v>
      </c>
      <c r="AV16" s="1">
        <v>2.0780720861475633E-3</v>
      </c>
      <c r="AW16" s="1">
        <v>0</v>
      </c>
      <c r="AX16" s="1">
        <v>4.244399999999965E-3</v>
      </c>
      <c r="AZ16" s="1">
        <v>1.2999999999999999E-3</v>
      </c>
      <c r="BA16" s="1">
        <v>4.2500000000000003E-3</v>
      </c>
      <c r="BB16" s="1">
        <v>0</v>
      </c>
      <c r="BC16" s="1">
        <v>1.4999999999999999E-2</v>
      </c>
      <c r="BE16" s="1">
        <v>3.0619999999999998E-2</v>
      </c>
      <c r="BF16" s="1">
        <v>2.2179999999999998E-2</v>
      </c>
      <c r="BG16" s="1">
        <v>0</v>
      </c>
      <c r="BH16" s="1">
        <v>7.9000000000000001E-2</v>
      </c>
      <c r="BJ16" s="1">
        <v>1.9506990292276355E-3</v>
      </c>
      <c r="BK16" s="1">
        <v>1.3168191564598402E-3</v>
      </c>
      <c r="BL16" s="1">
        <v>0</v>
      </c>
      <c r="BM16" s="1">
        <v>4.531664575888922E-3</v>
      </c>
      <c r="BO16" s="1">
        <v>2.9851928011473438E-4</v>
      </c>
      <c r="BP16" s="1">
        <v>7.6398374602194505E-4</v>
      </c>
      <c r="BQ16" s="1">
        <v>0</v>
      </c>
      <c r="BR16" s="1">
        <v>1.7959274223177464E-3</v>
      </c>
      <c r="BT16" s="1">
        <v>6.7514437156280345E-3</v>
      </c>
      <c r="BU16" s="1">
        <v>4.6393459402514006E-3</v>
      </c>
      <c r="BV16" s="1">
        <v>0</v>
      </c>
      <c r="BW16" s="1">
        <v>1.5844561758520781E-2</v>
      </c>
    </row>
    <row r="17" spans="1:75" x14ac:dyDescent="0.25">
      <c r="A17" t="s">
        <v>41</v>
      </c>
      <c r="B17" s="1">
        <v>4.2975524888888431E-3</v>
      </c>
      <c r="C17" s="1">
        <v>7.4479029309377385E-3</v>
      </c>
      <c r="D17" s="1">
        <v>0</v>
      </c>
      <c r="E17" s="1">
        <v>2.6157124999999948E-2</v>
      </c>
      <c r="G17" s="1">
        <v>2.2758002666666529E-3</v>
      </c>
      <c r="H17" s="1">
        <v>4.6004754562922945E-3</v>
      </c>
      <c r="I17" s="1">
        <v>0</v>
      </c>
      <c r="J17" s="1">
        <v>1.5701674999999984E-2</v>
      </c>
      <c r="L17" s="1">
        <v>5.376545022222185E-3</v>
      </c>
      <c r="M17" s="1">
        <v>9.1400074492349621E-3</v>
      </c>
      <c r="N17" s="1">
        <v>0</v>
      </c>
      <c r="O17" s="1">
        <v>3.2775274999999937E-2</v>
      </c>
      <c r="Q17" s="1">
        <v>3.613967733333313E-3</v>
      </c>
      <c r="R17" s="1">
        <v>6.5298408311105435E-3</v>
      </c>
      <c r="S17" s="1">
        <v>0</v>
      </c>
      <c r="T17" s="1">
        <v>2.3138149999999986E-2</v>
      </c>
      <c r="V17" s="1">
        <v>3.6090209111110938E-2</v>
      </c>
      <c r="W17" s="1">
        <v>3.0604021511835697E-2</v>
      </c>
      <c r="X17" s="1">
        <v>1.9999999999999999E-6</v>
      </c>
      <c r="Y17" s="1">
        <v>0.10742062499999998</v>
      </c>
      <c r="AA17" s="1">
        <v>0.1188633033777776</v>
      </c>
      <c r="AB17" s="1">
        <v>5.1063873763446094E-2</v>
      </c>
      <c r="AC17" s="1">
        <v>1.9098450000000003E-2</v>
      </c>
      <c r="AD17" s="1">
        <v>0.22184000000000001</v>
      </c>
      <c r="AF17" s="1">
        <v>0.18709497435555575</v>
      </c>
      <c r="AG17" s="1">
        <v>5.5680271483578292E-2</v>
      </c>
      <c r="AH17" s="1">
        <v>7.1165224999999999E-2</v>
      </c>
      <c r="AI17" s="1">
        <v>0.28730844999999999</v>
      </c>
      <c r="AK17" s="1">
        <v>0.50029670306666707</v>
      </c>
      <c r="AL17" s="1">
        <v>7.8808409960635956E-2</v>
      </c>
      <c r="AM17" s="1">
        <v>0.34591690000000003</v>
      </c>
      <c r="AN17" s="1">
        <v>0.65163887499999995</v>
      </c>
      <c r="AP17" s="1">
        <v>0.48988239888888935</v>
      </c>
      <c r="AQ17" s="1">
        <v>7.1675216176565262E-2</v>
      </c>
      <c r="AR17" s="1">
        <v>0.35317710000000002</v>
      </c>
      <c r="AS17" s="1">
        <v>0.63242805000000002</v>
      </c>
      <c r="AU17" s="1">
        <v>0.53059171488888979</v>
      </c>
      <c r="AV17" s="1">
        <v>6.9089523001486103E-2</v>
      </c>
      <c r="AW17" s="1">
        <v>0.39088642499999998</v>
      </c>
      <c r="AX17" s="1">
        <v>0.66043589999999963</v>
      </c>
      <c r="AZ17" s="1">
        <v>0.72843000000000002</v>
      </c>
      <c r="BA17" s="1">
        <v>5.7590000000000002E-2</v>
      </c>
      <c r="BB17" s="1">
        <v>0.60497999999999996</v>
      </c>
      <c r="BC17" s="1">
        <v>0.82700000000000007</v>
      </c>
      <c r="BE17" s="1">
        <v>0.63350000000000006</v>
      </c>
      <c r="BF17" s="1">
        <v>5.8979999999999998E-2</v>
      </c>
      <c r="BG17" s="1">
        <v>0.51900000000000002</v>
      </c>
      <c r="BH17" s="1">
        <v>0.75099999999999989</v>
      </c>
      <c r="BJ17" s="1">
        <v>0.14795016444444292</v>
      </c>
      <c r="BK17" s="1">
        <v>9.8542184212380424E-3</v>
      </c>
      <c r="BL17" s="1">
        <v>0.12863589633881636</v>
      </c>
      <c r="BM17" s="1">
        <v>0.16726443255006948</v>
      </c>
      <c r="BO17" s="1">
        <v>1.628424887725264E-2</v>
      </c>
      <c r="BP17" s="1">
        <v>8.1421420896581574E-3</v>
      </c>
      <c r="BQ17" s="1">
        <v>3.2565038152265052E-4</v>
      </c>
      <c r="BR17" s="1">
        <v>3.2242847372982629E-2</v>
      </c>
      <c r="BT17" s="1">
        <v>0.5305322926170104</v>
      </c>
      <c r="BU17" s="1">
        <v>3.0357336955751837E-2</v>
      </c>
      <c r="BV17" s="1">
        <v>0.4710319121837368</v>
      </c>
      <c r="BW17" s="1">
        <v>0.59003267305028406</v>
      </c>
    </row>
    <row r="18" spans="1:75" x14ac:dyDescent="0.25">
      <c r="A18" t="s">
        <v>44</v>
      </c>
      <c r="B18" s="1">
        <v>2.555786844444418E-3</v>
      </c>
      <c r="C18" s="1">
        <v>4.7815159895342671E-3</v>
      </c>
      <c r="D18" s="1">
        <v>0</v>
      </c>
      <c r="E18" s="1">
        <v>1.6994124999999947E-2</v>
      </c>
      <c r="G18" s="1">
        <v>1.5526474222222265E-3</v>
      </c>
      <c r="H18" s="1">
        <v>3.1715343078346022E-3</v>
      </c>
      <c r="I18" s="1">
        <v>0</v>
      </c>
      <c r="J18" s="1">
        <v>1.0970349999999971E-2</v>
      </c>
      <c r="L18" s="1">
        <v>2.2170733777777544E-3</v>
      </c>
      <c r="M18" s="1">
        <v>4.4135507163974705E-3</v>
      </c>
      <c r="N18" s="1">
        <v>0</v>
      </c>
      <c r="O18" s="1">
        <v>1.5266599999999948E-2</v>
      </c>
      <c r="Q18" s="1">
        <v>3.8466355111110829E-3</v>
      </c>
      <c r="R18" s="1">
        <v>7.0148334940207139E-3</v>
      </c>
      <c r="S18" s="1">
        <v>0</v>
      </c>
      <c r="T18" s="1">
        <v>2.4574000000000002E-2</v>
      </c>
      <c r="V18" s="1">
        <v>3.951641777777749E-3</v>
      </c>
      <c r="W18" s="1">
        <v>7.6257346880685408E-3</v>
      </c>
      <c r="X18" s="1">
        <v>0</v>
      </c>
      <c r="Y18" s="1">
        <v>2.6732099999999991E-2</v>
      </c>
      <c r="AA18" s="1">
        <v>3.1727745111110747E-2</v>
      </c>
      <c r="AB18" s="1">
        <v>3.4193086375533581E-2</v>
      </c>
      <c r="AC18" s="1">
        <v>0</v>
      </c>
      <c r="AD18" s="1">
        <v>0.11406194999999993</v>
      </c>
      <c r="AF18" s="1">
        <v>5.656177506666657E-2</v>
      </c>
      <c r="AG18" s="1">
        <v>2.0675434400710565E-2</v>
      </c>
      <c r="AH18" s="1">
        <v>2.4436949999999999E-2</v>
      </c>
      <c r="AI18" s="1">
        <v>0.10455924999999998</v>
      </c>
      <c r="AK18" s="1">
        <v>0.34213409355555491</v>
      </c>
      <c r="AL18" s="1">
        <v>6.6516471157024123E-2</v>
      </c>
      <c r="AM18" s="1">
        <v>0.21603082499999998</v>
      </c>
      <c r="AN18" s="1">
        <v>0.47439022499999989</v>
      </c>
      <c r="AP18" s="1">
        <v>0.31355324533333301</v>
      </c>
      <c r="AQ18" s="1">
        <v>7.2928444675577311E-2</v>
      </c>
      <c r="AR18" s="1">
        <v>0.16476344999999998</v>
      </c>
      <c r="AS18" s="1">
        <v>0.44900274999999962</v>
      </c>
      <c r="AU18" s="1">
        <v>0.4084381447555514</v>
      </c>
      <c r="AV18" s="1">
        <v>5.9749299923617799E-2</v>
      </c>
      <c r="AW18" s="1">
        <v>0.29379095</v>
      </c>
      <c r="AX18" s="1">
        <v>0.52735255000000003</v>
      </c>
      <c r="AZ18" s="1">
        <v>0.20271999999999998</v>
      </c>
      <c r="BA18" s="1">
        <v>4.8710000000000003E-2</v>
      </c>
      <c r="BB18" s="1">
        <v>0.126</v>
      </c>
      <c r="BC18" s="1">
        <v>0.315</v>
      </c>
      <c r="BE18" s="1">
        <v>0.28336</v>
      </c>
      <c r="BF18" s="1">
        <v>5.4829999999999997E-2</v>
      </c>
      <c r="BG18" s="1">
        <v>0.17399999999999999</v>
      </c>
      <c r="BH18" s="1">
        <v>0.39200000000000002</v>
      </c>
      <c r="BJ18" s="1">
        <v>7.7743261969193372E-2</v>
      </c>
      <c r="BK18" s="1">
        <v>7.1679808433261147E-3</v>
      </c>
      <c r="BL18" s="1">
        <v>6.3694019516274181E-2</v>
      </c>
      <c r="BM18" s="1">
        <v>9.1792504422112564E-2</v>
      </c>
      <c r="BO18" s="1">
        <v>4.2932923728239789E-3</v>
      </c>
      <c r="BP18" s="1">
        <v>3.4413992998793899E-3</v>
      </c>
      <c r="BQ18" s="1">
        <v>0</v>
      </c>
      <c r="BR18" s="1">
        <v>1.1038435000587583E-2</v>
      </c>
      <c r="BT18" s="1">
        <v>0.29116710489268238</v>
      </c>
      <c r="BU18" s="1">
        <v>2.6149240490601772E-2</v>
      </c>
      <c r="BV18" s="1">
        <v>0.23991459353110292</v>
      </c>
      <c r="BW18" s="1">
        <v>0.34241961625426187</v>
      </c>
    </row>
    <row r="19" spans="1:75" x14ac:dyDescent="0.25">
      <c r="A19" t="s">
        <v>43</v>
      </c>
      <c r="B19" s="1">
        <v>6.6121232444444232E-3</v>
      </c>
      <c r="C19" s="1">
        <v>8.6906836331410182E-3</v>
      </c>
      <c r="D19" s="1">
        <v>1.9999999999999999E-6</v>
      </c>
      <c r="E19" s="1">
        <v>3.0898249999999978E-2</v>
      </c>
      <c r="G19" s="1">
        <v>2.8658987111110814E-3</v>
      </c>
      <c r="H19" s="1">
        <v>4.5359928285025946E-3</v>
      </c>
      <c r="I19" s="1">
        <v>9.9999999999999995E-7</v>
      </c>
      <c r="J19" s="1">
        <v>1.5696000000000002E-2</v>
      </c>
      <c r="L19" s="1">
        <v>6.8472054666666431E-3</v>
      </c>
      <c r="M19" s="1">
        <v>9.4813657190161351E-3</v>
      </c>
      <c r="N19" s="1">
        <v>1.9999999999999999E-6</v>
      </c>
      <c r="O19" s="1">
        <v>3.3927099999999988E-2</v>
      </c>
      <c r="Q19" s="1">
        <v>5.9400955555555532E-3</v>
      </c>
      <c r="R19" s="1">
        <v>8.4033156483814177E-3</v>
      </c>
      <c r="S19" s="1">
        <v>1.9999999999999999E-6</v>
      </c>
      <c r="T19" s="1">
        <v>2.9729324999999928E-2</v>
      </c>
      <c r="V19" s="1">
        <v>2.4619411111111211E-2</v>
      </c>
      <c r="W19" s="1">
        <v>2.4307304127246212E-2</v>
      </c>
      <c r="X19" s="1">
        <v>1.5999999999999999E-5</v>
      </c>
      <c r="Y19" s="1">
        <v>8.5255699999999934E-2</v>
      </c>
      <c r="AA19" s="1">
        <v>0.15428879200000023</v>
      </c>
      <c r="AB19" s="1">
        <v>4.2146207611322858E-2</v>
      </c>
      <c r="AC19" s="1">
        <v>7.7400650000000001E-2</v>
      </c>
      <c r="AD19" s="1">
        <v>0.24161102499999995</v>
      </c>
      <c r="AF19" s="1">
        <v>0.26711318231111281</v>
      </c>
      <c r="AG19" s="1">
        <v>4.2003547829099382E-2</v>
      </c>
      <c r="AH19" s="1">
        <v>0.18709102499999997</v>
      </c>
      <c r="AI19" s="1">
        <v>0.35132257500000003</v>
      </c>
      <c r="AK19" s="1">
        <v>0.73517060022222136</v>
      </c>
      <c r="AL19" s="1">
        <v>5.6346923331242707E-2</v>
      </c>
      <c r="AM19" s="1">
        <v>0.62203339999999996</v>
      </c>
      <c r="AN19" s="1">
        <v>0.84175289999999992</v>
      </c>
      <c r="AP19" s="1">
        <v>0.72827105751110977</v>
      </c>
      <c r="AQ19" s="1">
        <v>5.0803358769471438E-2</v>
      </c>
      <c r="AR19" s="1">
        <v>0.62326642499999996</v>
      </c>
      <c r="AS19" s="1">
        <v>0.82291182499999993</v>
      </c>
      <c r="AU19" s="1">
        <v>0.71369901200000119</v>
      </c>
      <c r="AV19" s="1">
        <v>4.5839694186456066E-2</v>
      </c>
      <c r="AW19" s="1">
        <v>0.62275322499999997</v>
      </c>
      <c r="AX19" s="1">
        <v>0.80160859999999978</v>
      </c>
      <c r="AZ19" s="1">
        <v>0.60476999999999992</v>
      </c>
      <c r="BA19" s="1">
        <v>5.1079999999999993E-2</v>
      </c>
      <c r="BB19" s="1">
        <v>0.504</v>
      </c>
      <c r="BC19" s="1">
        <v>0.70400000000000007</v>
      </c>
      <c r="BE19" s="1">
        <v>0.51402000000000003</v>
      </c>
      <c r="BF19" s="1">
        <v>4.9779999999999998E-2</v>
      </c>
      <c r="BG19" s="1">
        <v>0.41700000000000004</v>
      </c>
      <c r="BH19" s="1">
        <v>0.61099999999999999</v>
      </c>
      <c r="BJ19" s="1">
        <v>0.17095321631681598</v>
      </c>
      <c r="BK19" s="1">
        <v>7.7865715710688727E-3</v>
      </c>
      <c r="BL19" s="1">
        <v>0.15569153603752101</v>
      </c>
      <c r="BM19" s="1">
        <v>0.18621489659611096</v>
      </c>
      <c r="BO19" s="1">
        <v>1.6326254026247516E-2</v>
      </c>
      <c r="BP19" s="1">
        <v>7.0317057501917612E-3</v>
      </c>
      <c r="BQ19" s="1">
        <v>2.5441107558716643E-3</v>
      </c>
      <c r="BR19" s="1">
        <v>3.0108397296623367E-2</v>
      </c>
      <c r="BT19" s="1">
        <v>0.62025334119079223</v>
      </c>
      <c r="BU19" s="1">
        <v>2.252606137602629E-2</v>
      </c>
      <c r="BV19" s="1">
        <v>0.57610226089378069</v>
      </c>
      <c r="BW19" s="1">
        <v>0.66440442148780376</v>
      </c>
    </row>
    <row r="20" spans="1:75" x14ac:dyDescent="0.25">
      <c r="A20" t="s">
        <v>42</v>
      </c>
      <c r="B20" s="1">
        <v>0.99656670862220775</v>
      </c>
      <c r="C20" s="1">
        <v>5.7544386567201363E-3</v>
      </c>
      <c r="D20" s="1">
        <v>0.979688275</v>
      </c>
      <c r="E20" s="1">
        <v>1</v>
      </c>
      <c r="G20" s="1">
        <v>0.99823185488887056</v>
      </c>
      <c r="H20" s="1">
        <v>3.356135361180671E-3</v>
      </c>
      <c r="I20" s="1">
        <v>0.98830300000000004</v>
      </c>
      <c r="J20" s="1">
        <v>1</v>
      </c>
      <c r="L20" s="1">
        <v>0.99719050435553902</v>
      </c>
      <c r="M20" s="1">
        <v>5.1475113511231709E-3</v>
      </c>
      <c r="N20" s="1">
        <v>0.98197797499999995</v>
      </c>
      <c r="O20" s="1">
        <v>1</v>
      </c>
      <c r="Q20" s="1">
        <v>0.99591825079998708</v>
      </c>
      <c r="R20" s="1">
        <v>7.1030779675116396E-3</v>
      </c>
      <c r="S20" s="1">
        <v>0.97505365000000011</v>
      </c>
      <c r="T20" s="1">
        <v>1</v>
      </c>
      <c r="V20" s="1">
        <v>0.99502649417776245</v>
      </c>
      <c r="W20" s="1">
        <v>8.8452550144671304E-3</v>
      </c>
      <c r="X20" s="1">
        <v>0.96829880000000013</v>
      </c>
      <c r="Y20" s="1">
        <v>1</v>
      </c>
      <c r="AA20" s="1">
        <v>0.95568256204444058</v>
      </c>
      <c r="AB20" s="1">
        <v>4.1330499485995507E-2</v>
      </c>
      <c r="AC20" s="1">
        <v>0.85810782500000005</v>
      </c>
      <c r="AD20" s="1">
        <v>0.99999800000000005</v>
      </c>
      <c r="AF20" s="1">
        <v>0.91725517297777615</v>
      </c>
      <c r="AG20" s="1">
        <v>4.0353205367073451E-2</v>
      </c>
      <c r="AH20" s="1">
        <v>0.82194674999999995</v>
      </c>
      <c r="AI20" s="1">
        <v>0.9715341500000001</v>
      </c>
      <c r="AK20" s="1">
        <v>0.65396515733333316</v>
      </c>
      <c r="AL20" s="1">
        <v>6.639543194537316E-2</v>
      </c>
      <c r="AM20" s="1">
        <v>0.521619375</v>
      </c>
      <c r="AN20" s="1">
        <v>0.77948102499999983</v>
      </c>
      <c r="AP20" s="1">
        <v>0.62621200159999824</v>
      </c>
      <c r="AQ20" s="1">
        <v>6.6478847061255911E-2</v>
      </c>
      <c r="AR20" s="1">
        <v>0.49744375000000002</v>
      </c>
      <c r="AS20" s="1">
        <v>0.7577934249999998</v>
      </c>
      <c r="AU20" s="1">
        <v>0.57732560559999369</v>
      </c>
      <c r="AV20" s="1">
        <v>6.4369939385400532E-2</v>
      </c>
      <c r="AW20" s="1">
        <v>0.446563025</v>
      </c>
      <c r="AX20" s="1">
        <v>0.69898142499999993</v>
      </c>
      <c r="AZ20" s="1">
        <v>0.76918999999999993</v>
      </c>
      <c r="BA20" s="1">
        <v>5.5830000000000005E-2</v>
      </c>
      <c r="BB20" s="1">
        <v>0.65</v>
      </c>
      <c r="BC20" s="1">
        <v>0.86299999999999999</v>
      </c>
      <c r="BE20" s="1">
        <v>0.7149899999999999</v>
      </c>
      <c r="BF20" s="1">
        <v>5.4800000000000001E-2</v>
      </c>
      <c r="BG20" s="1">
        <v>0.60699999999999998</v>
      </c>
      <c r="BH20" s="1">
        <v>0.82401999999999997</v>
      </c>
      <c r="BJ20" s="1">
        <v>0.91721825496910991</v>
      </c>
      <c r="BK20" s="1">
        <v>7.4172914004473857E-3</v>
      </c>
      <c r="BL20" s="1">
        <v>0.902680363824233</v>
      </c>
      <c r="BM20" s="1">
        <v>0.93175614611398683</v>
      </c>
      <c r="BO20" s="1">
        <v>0.99467290732870661</v>
      </c>
      <c r="BP20" s="1">
        <v>3.8111979175155736E-3</v>
      </c>
      <c r="BQ20" s="1">
        <v>0.98720295941037606</v>
      </c>
      <c r="BR20" s="1">
        <v>1</v>
      </c>
      <c r="BT20" s="1">
        <v>0.69215799082292706</v>
      </c>
      <c r="BU20" s="1">
        <v>2.6769530883947502E-2</v>
      </c>
      <c r="BV20" s="1">
        <v>0.63968971029039001</v>
      </c>
      <c r="BW20" s="1">
        <v>0.74462627135546411</v>
      </c>
    </row>
    <row r="21" spans="1:75" x14ac:dyDescent="0.25">
      <c r="A21" t="s">
        <v>21</v>
      </c>
      <c r="B21" s="1">
        <v>3.4332342222221472E-3</v>
      </c>
      <c r="C21" s="1">
        <v>5.7544362697871509E-3</v>
      </c>
      <c r="D21" s="1">
        <v>0</v>
      </c>
      <c r="E21" s="1">
        <v>2.0311674999999897E-2</v>
      </c>
      <c r="G21" s="1">
        <v>1.7680802222222107E-3</v>
      </c>
      <c r="H21" s="1">
        <v>3.3561401652030748E-3</v>
      </c>
      <c r="I21" s="1">
        <v>0</v>
      </c>
      <c r="J21" s="1">
        <v>1.1698524999999998E-2</v>
      </c>
      <c r="L21" s="1">
        <v>2.8094315999999619E-3</v>
      </c>
      <c r="M21" s="1">
        <v>5.1475187637849609E-3</v>
      </c>
      <c r="N21" s="1">
        <v>0</v>
      </c>
      <c r="O21" s="1">
        <v>1.8021549999999952E-2</v>
      </c>
      <c r="Q21" s="1">
        <v>4.081687288888876E-3</v>
      </c>
      <c r="R21" s="1">
        <v>7.1030804659821386E-3</v>
      </c>
      <c r="S21" s="1">
        <v>0</v>
      </c>
      <c r="T21" s="1">
        <v>2.4945824999999974E-2</v>
      </c>
      <c r="V21" s="1">
        <v>4.9734511555555314E-3</v>
      </c>
      <c r="W21" s="1">
        <v>8.8452644644158342E-3</v>
      </c>
      <c r="X21" s="1">
        <v>0</v>
      </c>
      <c r="Y21" s="1">
        <v>3.1700674999999984E-2</v>
      </c>
      <c r="AA21" s="1">
        <v>4.4317408577777419E-2</v>
      </c>
      <c r="AB21" s="1">
        <v>4.1330505417274677E-2</v>
      </c>
      <c r="AC21" s="1">
        <v>1.9999999999999999E-6</v>
      </c>
      <c r="AD21" s="1">
        <v>0.14189217499999984</v>
      </c>
      <c r="AF21" s="1">
        <v>8.2744801777777668E-2</v>
      </c>
      <c r="AG21" s="1">
        <v>4.0353206815228727E-2</v>
      </c>
      <c r="AH21" s="1">
        <v>2.8465850000000001E-2</v>
      </c>
      <c r="AI21" s="1">
        <v>0.17805224999999997</v>
      </c>
      <c r="AK21" s="1">
        <v>0.34603481462222113</v>
      </c>
      <c r="AL21" s="1">
        <v>6.639543431947395E-2</v>
      </c>
      <c r="AM21" s="1">
        <v>0.22051997500000001</v>
      </c>
      <c r="AN21" s="1">
        <v>0.47838062499999989</v>
      </c>
      <c r="AP21" s="1">
        <v>0.37378796955555649</v>
      </c>
      <c r="AQ21" s="1">
        <v>6.6478857647514517E-2</v>
      </c>
      <c r="AR21" s="1">
        <v>0.24220557500000001</v>
      </c>
      <c r="AS21" s="1">
        <v>0.50255577500000004</v>
      </c>
      <c r="AU21" s="1">
        <v>0.42267435928888741</v>
      </c>
      <c r="AV21" s="1">
        <v>6.4369939796141432E-2</v>
      </c>
      <c r="AW21" s="1">
        <v>0.30101909999999998</v>
      </c>
      <c r="AX21" s="1">
        <v>0.55343697499999989</v>
      </c>
      <c r="AZ21" s="1">
        <v>0.23080999999999999</v>
      </c>
      <c r="BA21" s="1">
        <v>5.5820000000000002E-2</v>
      </c>
      <c r="BB21" s="1">
        <v>0.13697999999999999</v>
      </c>
      <c r="BC21" s="1">
        <v>0.35</v>
      </c>
      <c r="BE21" s="1">
        <v>0.28500999999999999</v>
      </c>
      <c r="BF21" s="1">
        <v>5.4800000000000001E-2</v>
      </c>
      <c r="BG21" s="1">
        <v>0.17499999999999999</v>
      </c>
      <c r="BH21" s="1">
        <v>0.39299999999999996</v>
      </c>
      <c r="BJ21" s="1">
        <v>8.278169557033109E-2</v>
      </c>
      <c r="BK21" s="1">
        <v>7.4172036878363988E-3</v>
      </c>
      <c r="BL21" s="1">
        <v>6.8243976342171747E-2</v>
      </c>
      <c r="BM21" s="1">
        <v>9.7319414798490433E-2</v>
      </c>
      <c r="BO21" s="1">
        <v>5.3270329362716641E-3</v>
      </c>
      <c r="BP21" s="1">
        <v>3.8112005026782075E-3</v>
      </c>
      <c r="BQ21" s="1">
        <v>0</v>
      </c>
      <c r="BR21" s="1">
        <v>1.279698592152095E-2</v>
      </c>
      <c r="BT21" s="1">
        <v>0.30784198957105774</v>
      </c>
      <c r="BU21" s="1">
        <v>2.6769157039660606E-2</v>
      </c>
      <c r="BV21" s="1">
        <v>0.25537444177332297</v>
      </c>
      <c r="BW21" s="1">
        <v>0.36030953736879251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A9726-F4F3-42EF-B88B-034048FCBA1D}">
  <dimension ref="A1:BR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32" sqref="E32"/>
    </sheetView>
  </sheetViews>
  <sheetFormatPr defaultRowHeight="15" x14ac:dyDescent="0.25"/>
  <cols>
    <col min="1" max="1" width="17" customWidth="1"/>
  </cols>
  <sheetData>
    <row r="1" spans="1:70" x14ac:dyDescent="0.25">
      <c r="B1" t="s">
        <v>88</v>
      </c>
      <c r="G1" t="s">
        <v>75</v>
      </c>
      <c r="L1" t="s">
        <v>76</v>
      </c>
      <c r="Q1" t="s">
        <v>77</v>
      </c>
      <c r="V1" t="s">
        <v>78</v>
      </c>
      <c r="AA1" t="s">
        <v>79</v>
      </c>
      <c r="AF1" t="s">
        <v>80</v>
      </c>
      <c r="AK1" t="s">
        <v>90</v>
      </c>
      <c r="AP1" t="s">
        <v>91</v>
      </c>
      <c r="AU1" t="s">
        <v>92</v>
      </c>
      <c r="AZ1" t="s">
        <v>93</v>
      </c>
      <c r="BE1" t="s">
        <v>94</v>
      </c>
      <c r="BJ1" t="s">
        <v>95</v>
      </c>
      <c r="BO1" t="s">
        <v>96</v>
      </c>
    </row>
    <row r="2" spans="1:70" x14ac:dyDescent="0.25">
      <c r="A2" t="s">
        <v>64</v>
      </c>
      <c r="B2" t="s">
        <v>65</v>
      </c>
      <c r="C2" t="s">
        <v>34</v>
      </c>
      <c r="D2">
        <v>2.5</v>
      </c>
      <c r="E2">
        <v>97.5</v>
      </c>
      <c r="G2" t="s">
        <v>65</v>
      </c>
      <c r="H2" t="s">
        <v>34</v>
      </c>
      <c r="I2">
        <v>2.5</v>
      </c>
      <c r="J2">
        <v>97.5</v>
      </c>
      <c r="L2" t="s">
        <v>65</v>
      </c>
      <c r="M2" t="s">
        <v>34</v>
      </c>
      <c r="N2">
        <v>2.5</v>
      </c>
      <c r="O2" t="s">
        <v>89</v>
      </c>
      <c r="Q2" t="s">
        <v>65</v>
      </c>
      <c r="R2" t="s">
        <v>34</v>
      </c>
      <c r="S2">
        <v>2.5</v>
      </c>
      <c r="T2">
        <v>97.5</v>
      </c>
      <c r="V2" t="s">
        <v>65</v>
      </c>
      <c r="W2" t="s">
        <v>34</v>
      </c>
      <c r="X2">
        <v>2.5</v>
      </c>
      <c r="Y2">
        <v>97.5</v>
      </c>
      <c r="AA2" t="s">
        <v>65</v>
      </c>
      <c r="AB2" t="s">
        <v>34</v>
      </c>
      <c r="AC2">
        <v>2.5</v>
      </c>
      <c r="AD2">
        <v>97.5</v>
      </c>
      <c r="AF2" t="s">
        <v>65</v>
      </c>
      <c r="AG2" t="s">
        <v>34</v>
      </c>
      <c r="AH2">
        <v>2.5</v>
      </c>
      <c r="AI2">
        <v>97.5</v>
      </c>
      <c r="AK2" t="s">
        <v>65</v>
      </c>
      <c r="AL2" t="s">
        <v>34</v>
      </c>
      <c r="AM2">
        <v>2.5</v>
      </c>
      <c r="AN2">
        <v>97.5</v>
      </c>
      <c r="AP2" t="s">
        <v>65</v>
      </c>
      <c r="AQ2" t="s">
        <v>34</v>
      </c>
      <c r="AR2">
        <v>2.5</v>
      </c>
      <c r="AS2">
        <v>97.5</v>
      </c>
      <c r="AU2" t="s">
        <v>65</v>
      </c>
      <c r="AV2" t="s">
        <v>34</v>
      </c>
      <c r="AW2">
        <v>2.5</v>
      </c>
      <c r="AX2">
        <v>97.5</v>
      </c>
      <c r="AZ2" t="s">
        <v>65</v>
      </c>
      <c r="BA2" t="s">
        <v>34</v>
      </c>
      <c r="BB2">
        <v>2.5</v>
      </c>
      <c r="BC2">
        <v>97.5</v>
      </c>
      <c r="BE2" t="s">
        <v>73</v>
      </c>
      <c r="BF2" t="s">
        <v>34</v>
      </c>
      <c r="BG2" t="s">
        <v>35</v>
      </c>
      <c r="BJ2" t="s">
        <v>73</v>
      </c>
      <c r="BK2" t="s">
        <v>34</v>
      </c>
      <c r="BL2" t="s">
        <v>35</v>
      </c>
      <c r="BO2" t="s">
        <v>73</v>
      </c>
      <c r="BP2" t="s">
        <v>34</v>
      </c>
      <c r="BQ2" t="s">
        <v>35</v>
      </c>
    </row>
    <row r="3" spans="1:70" x14ac:dyDescent="0.25">
      <c r="A3" t="s">
        <v>9</v>
      </c>
      <c r="B3" s="1">
        <v>0.98864999999999992</v>
      </c>
      <c r="C3" s="1">
        <v>1.409E-2</v>
      </c>
      <c r="D3" s="1">
        <v>0.94799999999999995</v>
      </c>
      <c r="E3" s="1">
        <v>1</v>
      </c>
      <c r="G3" s="1">
        <v>0.99010000000000009</v>
      </c>
      <c r="H3" s="1">
        <v>9.8200000000000006E-3</v>
      </c>
      <c r="I3" s="1">
        <v>0.96499999999999997</v>
      </c>
      <c r="J3" s="1">
        <v>1</v>
      </c>
      <c r="L3" s="1">
        <v>0.99516000000000004</v>
      </c>
      <c r="M3" s="1">
        <v>6.6700000000000006E-3</v>
      </c>
      <c r="N3" s="1">
        <v>0.97599999999999998</v>
      </c>
      <c r="O3" s="1">
        <v>1</v>
      </c>
      <c r="Q3" s="1">
        <v>0.99628000000000005</v>
      </c>
      <c r="R3" s="1">
        <v>5.0800000000000003E-3</v>
      </c>
      <c r="S3" s="1">
        <v>0.98199999999999998</v>
      </c>
      <c r="T3" s="1">
        <v>1</v>
      </c>
      <c r="V3" s="1">
        <v>0.96635000000000004</v>
      </c>
      <c r="W3" s="1">
        <v>1.512E-2</v>
      </c>
      <c r="X3" s="1">
        <v>0.93099999999999994</v>
      </c>
      <c r="Y3" s="1">
        <v>0.99</v>
      </c>
      <c r="AA3" s="1">
        <v>0.95653999999999995</v>
      </c>
      <c r="AB3" s="1">
        <v>4.3380000000000002E-2</v>
      </c>
      <c r="AC3" s="1">
        <v>0.84798000000000007</v>
      </c>
      <c r="AD3" s="1">
        <v>1</v>
      </c>
      <c r="AF3" s="1">
        <v>0.85947999999999991</v>
      </c>
      <c r="AG3" s="1">
        <v>5.3150000000000003E-2</v>
      </c>
      <c r="AH3" s="1">
        <v>0.74400000000000011</v>
      </c>
      <c r="AI3" s="1">
        <v>0.94900000000000007</v>
      </c>
      <c r="AK3" s="1">
        <v>0.44685000000000002</v>
      </c>
      <c r="AL3" s="1">
        <v>7.5759999999999994E-2</v>
      </c>
      <c r="AM3" s="1">
        <v>0.29898000000000002</v>
      </c>
      <c r="AN3" s="1">
        <v>0.59499999999999997</v>
      </c>
      <c r="AP3" s="1">
        <v>0.12166</v>
      </c>
      <c r="AQ3" s="1">
        <v>4.3129999999999995E-2</v>
      </c>
      <c r="AR3" s="1">
        <v>4.9000000000000002E-2</v>
      </c>
      <c r="AS3" s="1">
        <v>0.218</v>
      </c>
      <c r="AU3" s="1">
        <v>0.12945999999999999</v>
      </c>
      <c r="AV3" s="1">
        <v>6.1089999999999998E-2</v>
      </c>
      <c r="AW3" s="1">
        <v>3.1E-2</v>
      </c>
      <c r="AX3" s="1">
        <v>0.26700000000000002</v>
      </c>
      <c r="AZ3" s="1">
        <v>6.4500000000000002E-2</v>
      </c>
      <c r="BA3" s="1">
        <v>5.9389999999999998E-2</v>
      </c>
      <c r="BB3" s="1">
        <v>0</v>
      </c>
      <c r="BC3" s="1">
        <v>0.217</v>
      </c>
      <c r="BE3" s="1">
        <v>0.87235992216570257</v>
      </c>
      <c r="BF3" s="1">
        <v>5.6198368241733533E-3</v>
      </c>
      <c r="BG3" s="1">
        <v>0.8613450419903228</v>
      </c>
      <c r="BH3" s="1">
        <v>0.88337480234108234</v>
      </c>
      <c r="BJ3" s="1">
        <v>0.98899143242624843</v>
      </c>
      <c r="BK3" s="1">
        <v>4.3762479519352795E-3</v>
      </c>
      <c r="BL3" s="1">
        <v>0.9804139864404553</v>
      </c>
      <c r="BM3" s="1">
        <v>0.99756887841204156</v>
      </c>
      <c r="BO3" s="1">
        <v>0.24409781042712789</v>
      </c>
      <c r="BP3" s="1">
        <v>2.7065562220799741E-2</v>
      </c>
      <c r="BQ3" s="1">
        <v>0.19104930847436039</v>
      </c>
      <c r="BR3" s="1">
        <v>0.29714631237989536</v>
      </c>
    </row>
    <row r="4" spans="1:70" x14ac:dyDescent="0.25">
      <c r="A4" t="s">
        <v>10</v>
      </c>
      <c r="B4" s="1">
        <v>0.59933000000000003</v>
      </c>
      <c r="C4" s="1">
        <v>8.9580000000000007E-2</v>
      </c>
      <c r="D4" s="1">
        <v>0.42497999999999997</v>
      </c>
      <c r="E4" s="1">
        <v>0.77599999999999991</v>
      </c>
      <c r="G4" s="1">
        <v>0.93313000000000001</v>
      </c>
      <c r="H4" s="1">
        <v>5.5039999999999999E-2</v>
      </c>
      <c r="I4" s="1">
        <v>0.80099999999999993</v>
      </c>
      <c r="J4" s="1">
        <v>0.995</v>
      </c>
      <c r="L4" s="1">
        <v>0.91861999999999999</v>
      </c>
      <c r="M4" s="1">
        <v>2.6249999999999999E-2</v>
      </c>
      <c r="N4" s="1">
        <v>0.86099999999999999</v>
      </c>
      <c r="O4" s="1">
        <v>0.96299999999999997</v>
      </c>
      <c r="Q4" s="1">
        <v>0.8397</v>
      </c>
      <c r="R4" s="1">
        <v>7.017000000000001E-2</v>
      </c>
      <c r="S4" s="1">
        <v>0.68700000000000006</v>
      </c>
      <c r="T4" s="1">
        <v>0.93900000000000006</v>
      </c>
      <c r="V4" s="1">
        <v>0.81428</v>
      </c>
      <c r="W4" s="1">
        <v>4.7619999999999996E-2</v>
      </c>
      <c r="X4" s="1">
        <v>0.70998000000000006</v>
      </c>
      <c r="Y4" s="1">
        <v>0.89400000000000002</v>
      </c>
      <c r="AA4" s="1">
        <v>0.77784000000000009</v>
      </c>
      <c r="AB4" s="1">
        <v>7.3099999999999998E-2</v>
      </c>
      <c r="AC4" s="1">
        <v>0.61899999999999999</v>
      </c>
      <c r="AD4" s="1">
        <v>0.90300000000000002</v>
      </c>
      <c r="AF4" s="1">
        <v>0.53522000000000003</v>
      </c>
      <c r="AG4" s="1">
        <v>9.8290000000000002E-2</v>
      </c>
      <c r="AH4" s="1">
        <v>0.31997999999999999</v>
      </c>
      <c r="AI4" s="1">
        <v>0.70900000000000007</v>
      </c>
      <c r="AK4" s="1">
        <v>0.27684999999999998</v>
      </c>
      <c r="AL4" s="1">
        <v>5.6600000000000004E-2</v>
      </c>
      <c r="AM4" s="1">
        <v>0.17199999999999999</v>
      </c>
      <c r="AN4" s="1">
        <v>0.39</v>
      </c>
      <c r="AP4" s="1">
        <v>4.9169999999999998E-2</v>
      </c>
      <c r="AQ4" s="1">
        <v>2.6600000000000002E-2</v>
      </c>
      <c r="AR4" s="1">
        <v>1E-3</v>
      </c>
      <c r="AS4" s="1">
        <v>0.106</v>
      </c>
      <c r="AU4" s="1">
        <v>4.6020000000000005E-2</v>
      </c>
      <c r="AV4" s="1">
        <v>2.9190000000000001E-2</v>
      </c>
      <c r="AW4" s="1">
        <v>3.0000000000000001E-3</v>
      </c>
      <c r="AX4" s="1">
        <v>0.115</v>
      </c>
      <c r="AZ4" s="1">
        <v>2.7440000000000003E-2</v>
      </c>
      <c r="BA4" s="1">
        <v>3.4720000000000001E-2</v>
      </c>
      <c r="BB4" s="1">
        <v>0</v>
      </c>
      <c r="BC4" s="1">
        <v>0.121</v>
      </c>
      <c r="BE4" s="1">
        <v>0.75072474291900293</v>
      </c>
      <c r="BF4" s="1">
        <v>1.987420413373776E-2</v>
      </c>
      <c r="BG4" s="1">
        <v>0.71177130281687695</v>
      </c>
      <c r="BH4" s="1">
        <v>0.78967818302112891</v>
      </c>
      <c r="BJ4" s="1">
        <v>0.86549085628350109</v>
      </c>
      <c r="BK4" s="1">
        <v>2.3289610994574547E-2</v>
      </c>
      <c r="BL4" s="1">
        <v>0.81984321873413502</v>
      </c>
      <c r="BM4" s="1">
        <v>0.91113849383286716</v>
      </c>
      <c r="BO4" s="1">
        <v>0.13251101510792154</v>
      </c>
      <c r="BP4" s="1">
        <v>1.9303038350535592E-2</v>
      </c>
      <c r="BQ4" s="1">
        <v>9.4677059940871777E-2</v>
      </c>
      <c r="BR4" s="1">
        <v>0.17034497027497131</v>
      </c>
    </row>
    <row r="5" spans="1:70" x14ac:dyDescent="0.25">
      <c r="A5" t="s">
        <v>84</v>
      </c>
      <c r="B5" s="1">
        <v>0.38888</v>
      </c>
      <c r="C5" s="1">
        <v>9.0069999999999997E-2</v>
      </c>
      <c r="D5" s="1">
        <v>0.21100000000000002</v>
      </c>
      <c r="E5" s="1">
        <v>0.56299999999999994</v>
      </c>
      <c r="G5" s="1">
        <v>5.636E-2</v>
      </c>
      <c r="H5" s="1">
        <v>5.5220000000000005E-2</v>
      </c>
      <c r="I5" s="1">
        <v>0</v>
      </c>
      <c r="J5" s="1">
        <v>0.19</v>
      </c>
      <c r="L5" s="1">
        <v>7.5850000000000001E-2</v>
      </c>
      <c r="M5" s="1">
        <v>2.6040000000000001E-2</v>
      </c>
      <c r="N5" s="1">
        <v>3.1E-2</v>
      </c>
      <c r="O5" s="1">
        <v>0.13400000000000001</v>
      </c>
      <c r="Q5" s="1">
        <v>0.15603</v>
      </c>
      <c r="R5" s="1">
        <v>7.0120000000000002E-2</v>
      </c>
      <c r="S5" s="1">
        <v>5.7000000000000002E-2</v>
      </c>
      <c r="T5" s="1">
        <v>0.309</v>
      </c>
      <c r="V5" s="1">
        <v>0.15170999999999998</v>
      </c>
      <c r="W5" s="1">
        <v>4.7259999999999996E-2</v>
      </c>
      <c r="X5" s="1">
        <v>7.4999999999999997E-2</v>
      </c>
      <c r="Y5" s="1">
        <v>0.25700000000000001</v>
      </c>
      <c r="AA5" s="1">
        <v>0.17827000000000001</v>
      </c>
      <c r="AB5" s="1">
        <v>7.392E-2</v>
      </c>
      <c r="AC5" s="1">
        <v>5.7000000000000002E-2</v>
      </c>
      <c r="AD5" s="1">
        <v>0.34799999999999998</v>
      </c>
      <c r="AF5" s="1">
        <v>0.32408999999999999</v>
      </c>
      <c r="AG5" s="1">
        <v>9.8239999999999994E-2</v>
      </c>
      <c r="AH5" s="1">
        <v>0.15898000000000001</v>
      </c>
      <c r="AI5" s="1">
        <v>0.54200000000000004</v>
      </c>
      <c r="AK5" s="1">
        <v>0.16992000000000002</v>
      </c>
      <c r="AL5" s="1">
        <v>7.5770000000000004E-2</v>
      </c>
      <c r="AM5" s="1">
        <v>2.1000000000000001E-2</v>
      </c>
      <c r="AN5" s="1">
        <v>0.32500000000000001</v>
      </c>
      <c r="AP5" s="1">
        <v>7.2410000000000002E-2</v>
      </c>
      <c r="AQ5" s="1">
        <v>4.5530000000000001E-2</v>
      </c>
      <c r="AR5" s="1">
        <v>1E-3</v>
      </c>
      <c r="AS5" s="1">
        <v>0.17600000000000002</v>
      </c>
      <c r="AU5" s="1">
        <v>8.337E-2</v>
      </c>
      <c r="AV5" s="1">
        <v>6.0970000000000003E-2</v>
      </c>
      <c r="AW5" s="1">
        <v>0</v>
      </c>
      <c r="AX5" s="1">
        <v>0.221</v>
      </c>
      <c r="AZ5" s="1">
        <v>3.7100000000000001E-2</v>
      </c>
      <c r="BA5" s="1">
        <v>5.3259999999999995E-2</v>
      </c>
      <c r="BB5" s="1">
        <v>0</v>
      </c>
      <c r="BC5" s="1">
        <v>0.18600000000000003</v>
      </c>
      <c r="BE5" s="1">
        <v>0.1211358776713431</v>
      </c>
      <c r="BF5" s="1">
        <v>2.0101076749109992E-2</v>
      </c>
      <c r="BG5" s="1">
        <v>8.1737767243087511E-2</v>
      </c>
      <c r="BH5" s="1">
        <v>0.16053398809959868</v>
      </c>
      <c r="BJ5" s="1">
        <v>0.12292236435357497</v>
      </c>
      <c r="BK5" s="1">
        <v>2.3222269410370876E-2</v>
      </c>
      <c r="BL5" s="1">
        <v>7.7406716309248058E-2</v>
      </c>
      <c r="BM5" s="1">
        <v>0.16843801239790188</v>
      </c>
      <c r="BO5" s="1">
        <v>0.11151256152749366</v>
      </c>
      <c r="BP5" s="1">
        <v>2.8869230916564376E-2</v>
      </c>
      <c r="BQ5" s="1">
        <v>5.4928868931027483E-2</v>
      </c>
      <c r="BR5" s="1">
        <v>0.16809625412395984</v>
      </c>
    </row>
    <row r="6" spans="1:70" x14ac:dyDescent="0.25">
      <c r="A6" t="s">
        <v>87</v>
      </c>
      <c r="B6" s="1">
        <v>0.38503999999999999</v>
      </c>
      <c r="C6" s="1">
        <v>9.1020000000000004E-2</v>
      </c>
      <c r="D6" s="1">
        <v>0.20499999999999999</v>
      </c>
      <c r="E6" s="1">
        <v>0.56200000000000006</v>
      </c>
      <c r="G6" s="1">
        <v>5.2290000000000003E-2</v>
      </c>
      <c r="H6" s="1">
        <v>5.5160000000000001E-2</v>
      </c>
      <c r="I6" s="1">
        <v>0</v>
      </c>
      <c r="J6" s="1">
        <v>0.18600000000000003</v>
      </c>
      <c r="L6" s="1">
        <v>1.0029999999999999E-2</v>
      </c>
      <c r="M6" s="1">
        <v>1.7909999999999999E-2</v>
      </c>
      <c r="N6" s="1">
        <v>0</v>
      </c>
      <c r="O6" s="1">
        <v>6.4000000000000001E-2</v>
      </c>
      <c r="Q6" s="1">
        <v>7.5340000000000004E-2</v>
      </c>
      <c r="R6" s="1">
        <v>7.2599999999999998E-2</v>
      </c>
      <c r="S6" s="1">
        <v>0</v>
      </c>
      <c r="T6" s="1">
        <v>0.23802000000000001</v>
      </c>
      <c r="V6" s="1">
        <v>4.4819999999999999E-2</v>
      </c>
      <c r="W6" s="1">
        <v>4.6260000000000003E-2</v>
      </c>
      <c r="X6" s="1">
        <v>0</v>
      </c>
      <c r="Y6" s="1">
        <v>0.158</v>
      </c>
      <c r="AA6" s="1">
        <v>3.5729999999999998E-2</v>
      </c>
      <c r="AB6" s="1">
        <v>5.8619999999999998E-2</v>
      </c>
      <c r="AC6" s="1">
        <v>0</v>
      </c>
      <c r="AD6" s="1">
        <v>0.21100000000000002</v>
      </c>
      <c r="AF6" s="1">
        <v>0.10637000000000001</v>
      </c>
      <c r="AG6" s="1">
        <v>9.9199999999999997E-2</v>
      </c>
      <c r="AH6" s="1">
        <v>0</v>
      </c>
      <c r="AI6" s="1">
        <v>0.34600000000000003</v>
      </c>
      <c r="AK6" s="1">
        <v>0.1295</v>
      </c>
      <c r="AL6" s="1">
        <v>8.3650000000000002E-2</v>
      </c>
      <c r="AM6" s="1">
        <v>0</v>
      </c>
      <c r="AN6" s="1">
        <v>0.29799999999999999</v>
      </c>
      <c r="AP6" s="1">
        <v>4.1139999999999996E-2</v>
      </c>
      <c r="AQ6" s="1">
        <v>4.0839999999999994E-2</v>
      </c>
      <c r="AR6" s="1">
        <v>0</v>
      </c>
      <c r="AS6" s="1">
        <v>0.14099999999999999</v>
      </c>
      <c r="AU6" s="1">
        <v>7.6870000000000008E-2</v>
      </c>
      <c r="AV6" s="1">
        <v>6.2080000000000003E-2</v>
      </c>
      <c r="AW6" s="1">
        <v>0</v>
      </c>
      <c r="AX6" s="1">
        <v>0.217</v>
      </c>
      <c r="AZ6" s="1">
        <v>3.134E-2</v>
      </c>
      <c r="BA6" s="1">
        <v>5.0410000000000003E-2</v>
      </c>
      <c r="BB6" s="1">
        <v>0</v>
      </c>
      <c r="BC6" s="1">
        <v>0.17699999999999999</v>
      </c>
      <c r="BE6" s="1">
        <v>5.3533076219030001E-2</v>
      </c>
      <c r="BF6" s="1">
        <v>1.9103451310955699E-2</v>
      </c>
      <c r="BG6" s="1">
        <v>1.6090311649556835E-2</v>
      </c>
      <c r="BH6" s="1">
        <v>9.0975840788503168E-2</v>
      </c>
      <c r="BJ6" s="1">
        <v>5.0959249674719369E-2</v>
      </c>
      <c r="BK6" s="1">
        <v>2.2043686477804386E-2</v>
      </c>
      <c r="BL6" s="1">
        <v>7.7536241782227705E-3</v>
      </c>
      <c r="BM6" s="1">
        <v>9.4164875171215967E-2</v>
      </c>
      <c r="BO6" s="1">
        <v>6.7397577299098926E-2</v>
      </c>
      <c r="BP6" s="1">
        <v>2.8037557473568217E-2</v>
      </c>
      <c r="BQ6" s="1">
        <v>1.244396465090522E-2</v>
      </c>
      <c r="BR6" s="1">
        <v>0.12235118994729263</v>
      </c>
    </row>
    <row r="7" spans="1:70" x14ac:dyDescent="0.25">
      <c r="A7" t="s">
        <v>36</v>
      </c>
      <c r="B7" s="1">
        <v>3.6800000000000001E-3</v>
      </c>
      <c r="C7" s="1">
        <v>1.0789999999999999E-2</v>
      </c>
      <c r="D7" s="1">
        <v>0</v>
      </c>
      <c r="E7" s="1">
        <v>3.7000000000000005E-2</v>
      </c>
      <c r="G7" s="1">
        <v>4.13E-3</v>
      </c>
      <c r="H7" s="1">
        <v>8.7100000000000007E-3</v>
      </c>
      <c r="I7" s="1">
        <v>0</v>
      </c>
      <c r="J7" s="1">
        <v>3.1E-2</v>
      </c>
      <c r="L7" s="1">
        <v>6.5820000000000004E-2</v>
      </c>
      <c r="M7" s="1">
        <v>2.3239999999999997E-2</v>
      </c>
      <c r="N7" s="1">
        <v>2.3E-2</v>
      </c>
      <c r="O7" s="1">
        <v>0.114</v>
      </c>
      <c r="Q7" s="1">
        <v>8.0530000000000004E-2</v>
      </c>
      <c r="R7" s="1">
        <v>2.4889999999999999E-2</v>
      </c>
      <c r="S7" s="1">
        <v>3.5000000000000003E-2</v>
      </c>
      <c r="T7" s="1">
        <v>0.13200000000000001</v>
      </c>
      <c r="V7" s="1">
        <v>0.10679</v>
      </c>
      <c r="W7" s="1">
        <v>3.1939999999999996E-2</v>
      </c>
      <c r="X7" s="1">
        <v>4.7E-2</v>
      </c>
      <c r="Y7" s="1">
        <v>0.17300000000000001</v>
      </c>
      <c r="AA7" s="1">
        <v>0.14248</v>
      </c>
      <c r="AB7" s="1">
        <v>6.275E-2</v>
      </c>
      <c r="AC7" s="1">
        <v>2.5000000000000001E-2</v>
      </c>
      <c r="AD7" s="1">
        <v>0.27300000000000002</v>
      </c>
      <c r="AF7" s="1">
        <v>0.21760000000000002</v>
      </c>
      <c r="AG7" s="1">
        <v>6.9120000000000001E-2</v>
      </c>
      <c r="AH7" s="1">
        <v>9.0999999999999998E-2</v>
      </c>
      <c r="AI7" s="1">
        <v>0.36200000000000004</v>
      </c>
      <c r="AK7" s="1">
        <v>4.0430000000000001E-2</v>
      </c>
      <c r="AL7" s="1">
        <v>4.8520000000000001E-2</v>
      </c>
      <c r="AM7" s="1">
        <v>0</v>
      </c>
      <c r="AN7" s="1">
        <v>0.16102</v>
      </c>
      <c r="AP7" s="1">
        <v>3.1309999999999998E-2</v>
      </c>
      <c r="AQ7" s="1">
        <v>3.1789999999999999E-2</v>
      </c>
      <c r="AR7" s="1">
        <v>0</v>
      </c>
      <c r="AS7" s="1">
        <v>0.105</v>
      </c>
      <c r="AU7" s="1">
        <v>6.5799999999999999E-3</v>
      </c>
      <c r="AV7" s="1">
        <v>1.6220000000000002E-2</v>
      </c>
      <c r="AW7" s="1">
        <v>0</v>
      </c>
      <c r="AX7" s="1">
        <v>0.06</v>
      </c>
      <c r="AZ7" s="1">
        <v>5.8799999999999998E-3</v>
      </c>
      <c r="BA7" s="1">
        <v>1.8450000000000001E-2</v>
      </c>
      <c r="BB7" s="1">
        <v>0</v>
      </c>
      <c r="BC7" s="1">
        <v>6.3E-2</v>
      </c>
      <c r="BE7" s="1">
        <v>6.7556985302724137E-2</v>
      </c>
      <c r="BF7" s="1">
        <v>1.1627097508694917E-2</v>
      </c>
      <c r="BG7" s="1">
        <v>4.4767874185682101E-2</v>
      </c>
      <c r="BH7" s="1">
        <v>9.0346096419766181E-2</v>
      </c>
      <c r="BJ7" s="1">
        <v>7.190240574985142E-2</v>
      </c>
      <c r="BK7" s="1">
        <v>1.3352091497943587E-2</v>
      </c>
      <c r="BL7" s="1">
        <v>4.5732306413881985E-2</v>
      </c>
      <c r="BM7" s="1">
        <v>9.8072505085820855E-2</v>
      </c>
      <c r="BO7" s="1">
        <v>4.4149391416600119E-2</v>
      </c>
      <c r="BP7" s="1">
        <v>1.8475428632910792E-2</v>
      </c>
      <c r="BQ7" s="1">
        <v>7.937551296094969E-3</v>
      </c>
      <c r="BR7" s="1">
        <v>8.0361231537105268E-2</v>
      </c>
    </row>
    <row r="8" spans="1:70" x14ac:dyDescent="0.25">
      <c r="A8" t="s">
        <v>11</v>
      </c>
      <c r="B8" s="1">
        <v>1.1350000000000001E-2</v>
      </c>
      <c r="C8" s="1">
        <v>1.41E-2</v>
      </c>
      <c r="D8" s="1">
        <v>0</v>
      </c>
      <c r="E8" s="1">
        <v>5.2000000000000005E-2</v>
      </c>
      <c r="G8" s="1">
        <v>9.8999999999999991E-3</v>
      </c>
      <c r="H8" s="1">
        <v>9.8200000000000006E-3</v>
      </c>
      <c r="I8" s="1">
        <v>0</v>
      </c>
      <c r="J8" s="1">
        <v>3.5000000000000003E-2</v>
      </c>
      <c r="L8" s="1">
        <v>4.8399999999999997E-3</v>
      </c>
      <c r="M8" s="1">
        <v>6.6700000000000006E-3</v>
      </c>
      <c r="N8" s="1">
        <v>0</v>
      </c>
      <c r="O8" s="1">
        <v>2.3E-2</v>
      </c>
      <c r="Q8" s="1">
        <v>3.7199999999999998E-3</v>
      </c>
      <c r="R8" s="1">
        <v>5.0800000000000003E-3</v>
      </c>
      <c r="S8" s="1">
        <v>0</v>
      </c>
      <c r="T8" s="1">
        <v>1.8000000000000002E-2</v>
      </c>
      <c r="V8" s="1">
        <v>3.3649999999999999E-2</v>
      </c>
      <c r="W8" s="1">
        <v>1.512E-2</v>
      </c>
      <c r="X8" s="1">
        <v>0.01</v>
      </c>
      <c r="Y8" s="1">
        <v>6.9000000000000006E-2</v>
      </c>
      <c r="AA8" s="1">
        <v>4.3459999999999999E-2</v>
      </c>
      <c r="AB8" s="1">
        <v>4.3390000000000005E-2</v>
      </c>
      <c r="AC8" s="1">
        <v>0</v>
      </c>
      <c r="AD8" s="1">
        <v>0.152</v>
      </c>
      <c r="AF8" s="1">
        <v>0.14052000000000001</v>
      </c>
      <c r="AG8" s="1">
        <v>5.3150000000000003E-2</v>
      </c>
      <c r="AH8" s="1">
        <v>0.05</v>
      </c>
      <c r="AI8" s="1">
        <v>0.25600000000000001</v>
      </c>
      <c r="AK8" s="1">
        <v>0.55315000000000003</v>
      </c>
      <c r="AL8" s="1">
        <v>7.5770000000000004E-2</v>
      </c>
      <c r="AM8" s="1">
        <v>0.40500000000000003</v>
      </c>
      <c r="AN8" s="1">
        <v>0.70099999999999996</v>
      </c>
      <c r="AP8" s="1">
        <v>0.87834000000000001</v>
      </c>
      <c r="AQ8" s="1">
        <v>4.3139999999999998E-2</v>
      </c>
      <c r="AR8" s="1">
        <v>0.78200000000000003</v>
      </c>
      <c r="AS8" s="1">
        <v>0.95099999999999996</v>
      </c>
      <c r="AU8" s="1">
        <v>0.87053999999999998</v>
      </c>
      <c r="AV8" s="1">
        <v>6.1100000000000002E-2</v>
      </c>
      <c r="AW8" s="1">
        <v>0.73297999999999996</v>
      </c>
      <c r="AX8" s="1">
        <v>0.96799999999999997</v>
      </c>
      <c r="AZ8" s="1">
        <v>0.9355</v>
      </c>
      <c r="BA8" s="1">
        <v>5.9400000000000001E-2</v>
      </c>
      <c r="BB8" s="1">
        <v>0.78299999999999992</v>
      </c>
      <c r="BC8" s="1">
        <v>0.99900000000000011</v>
      </c>
      <c r="BE8" s="1">
        <v>0.12764007783429721</v>
      </c>
      <c r="BF8" s="1">
        <v>5.6205275820880116E-3</v>
      </c>
      <c r="BG8" s="1">
        <v>0.11662384377340471</v>
      </c>
      <c r="BH8" s="1">
        <v>0.1386563118951897</v>
      </c>
      <c r="BJ8" s="1">
        <v>1.1008567573751713E-2</v>
      </c>
      <c r="BK8" s="1">
        <v>4.37641210348046E-3</v>
      </c>
      <c r="BL8" s="1">
        <v>2.4307998509300113E-3</v>
      </c>
      <c r="BM8" s="1">
        <v>1.9586335296573415E-2</v>
      </c>
      <c r="BO8" s="1">
        <v>0.75590218957287203</v>
      </c>
      <c r="BP8" s="1">
        <v>2.7070642380727598E-2</v>
      </c>
      <c r="BQ8" s="1">
        <v>0.70284373050664595</v>
      </c>
      <c r="BR8" s="1">
        <v>0.80896064863909811</v>
      </c>
    </row>
    <row r="9" spans="1:70" x14ac:dyDescent="0.25">
      <c r="A9" t="s">
        <v>37</v>
      </c>
      <c r="B9" s="1">
        <v>5.77E-3</v>
      </c>
      <c r="C9" s="1">
        <v>1.154E-2</v>
      </c>
      <c r="D9" s="1">
        <v>0</v>
      </c>
      <c r="E9" s="1">
        <v>4.2000000000000003E-2</v>
      </c>
      <c r="G9" s="1">
        <v>3.0299999999999997E-3</v>
      </c>
      <c r="H9" s="1">
        <v>5.5600000000000007E-3</v>
      </c>
      <c r="I9" s="1">
        <v>0</v>
      </c>
      <c r="J9" s="1">
        <v>0.02</v>
      </c>
      <c r="L9" s="1">
        <v>1.6200000000000001E-3</v>
      </c>
      <c r="M9" s="1">
        <v>4.3299999999999996E-3</v>
      </c>
      <c r="N9" s="1">
        <v>0</v>
      </c>
      <c r="O9" s="1">
        <v>1.3999999999999999E-2</v>
      </c>
      <c r="Q9" s="1">
        <v>9.2000000000000003E-4</v>
      </c>
      <c r="R9" s="1">
        <v>2.4499999999999999E-3</v>
      </c>
      <c r="S9" s="1">
        <v>0</v>
      </c>
      <c r="T9" s="1">
        <v>8.0000000000000002E-3</v>
      </c>
      <c r="V9" s="1">
        <v>2.0100000000000001E-3</v>
      </c>
      <c r="W9" s="1">
        <v>5.4000000000000003E-3</v>
      </c>
      <c r="X9" s="1">
        <v>0</v>
      </c>
      <c r="Y9" s="1">
        <v>1.8000000000000002E-2</v>
      </c>
      <c r="AA9" s="1">
        <v>7.45E-3</v>
      </c>
      <c r="AB9" s="1">
        <v>1.6570000000000001E-2</v>
      </c>
      <c r="AC9" s="1">
        <v>0</v>
      </c>
      <c r="AD9" s="1">
        <v>5.9000000000000004E-2</v>
      </c>
      <c r="AF9" s="1">
        <v>3.1199999999999999E-3</v>
      </c>
      <c r="AG9" s="1">
        <v>8.9300000000000004E-3</v>
      </c>
      <c r="AH9" s="1">
        <v>0</v>
      </c>
      <c r="AI9" s="1">
        <v>2.802E-2</v>
      </c>
      <c r="AK9" s="1">
        <v>6.0200000000000002E-3</v>
      </c>
      <c r="AL9" s="1">
        <v>1.4990000000000002E-2</v>
      </c>
      <c r="AM9" s="1">
        <v>0</v>
      </c>
      <c r="AN9" s="1">
        <v>5.2999999999999999E-2</v>
      </c>
      <c r="AP9" s="1">
        <v>0.19695000000000001</v>
      </c>
      <c r="AQ9" s="1">
        <v>5.0270000000000002E-2</v>
      </c>
      <c r="AR9" s="1">
        <v>0.105</v>
      </c>
      <c r="AS9" s="1">
        <v>0.30099999999999999</v>
      </c>
      <c r="AU9" s="1">
        <v>0.25962000000000002</v>
      </c>
      <c r="AV9" s="1">
        <v>6.4149999999999999E-2</v>
      </c>
      <c r="AW9" s="1">
        <v>0.14099999999999999</v>
      </c>
      <c r="AX9" s="1">
        <v>0.39100000000000001</v>
      </c>
      <c r="AZ9" s="1">
        <v>0.56140000000000001</v>
      </c>
      <c r="BA9" s="1">
        <v>0.11154</v>
      </c>
      <c r="BB9" s="1">
        <v>0.33100000000000002</v>
      </c>
      <c r="BC9" s="1">
        <v>0.76900000000000002</v>
      </c>
      <c r="BE9" s="1">
        <v>3.2101762416974183E-2</v>
      </c>
      <c r="BF9" s="1">
        <v>4.8472592055450875E-3</v>
      </c>
      <c r="BG9" s="1">
        <v>2.2601134374105811E-2</v>
      </c>
      <c r="BH9" s="1">
        <v>4.1602390459842556E-2</v>
      </c>
      <c r="BJ9" s="1">
        <v>1.9632659123495618E-3</v>
      </c>
      <c r="BK9" s="1">
        <v>2.3531258020522651E-3</v>
      </c>
      <c r="BL9" s="1">
        <v>0</v>
      </c>
      <c r="BM9" s="1">
        <v>6.5753924843720011E-3</v>
      </c>
      <c r="BO9" s="1">
        <v>0.19444961692320598</v>
      </c>
      <c r="BP9" s="1">
        <v>2.8244172410636599E-2</v>
      </c>
      <c r="BQ9" s="1">
        <v>0.13909103899835823</v>
      </c>
      <c r="BR9" s="1">
        <v>0.24980819484805372</v>
      </c>
    </row>
    <row r="10" spans="1:70" x14ac:dyDescent="0.25">
      <c r="A10" t="s">
        <v>38</v>
      </c>
      <c r="B10" s="1">
        <v>2.47E-3</v>
      </c>
      <c r="C10" s="1">
        <v>6.0299999999999998E-3</v>
      </c>
      <c r="D10" s="1">
        <v>0</v>
      </c>
      <c r="E10" s="1">
        <v>1.9E-2</v>
      </c>
      <c r="G10" s="1">
        <v>3.5399999999999997E-3</v>
      </c>
      <c r="H10" s="1">
        <v>6.5100000000000002E-3</v>
      </c>
      <c r="I10" s="1">
        <v>0</v>
      </c>
      <c r="J10" s="1">
        <v>2.3E-2</v>
      </c>
      <c r="L10" s="1">
        <v>1.65E-3</v>
      </c>
      <c r="M10" s="1">
        <v>3.62E-3</v>
      </c>
      <c r="N10" s="1">
        <v>0</v>
      </c>
      <c r="O10" s="1">
        <v>1.2E-2</v>
      </c>
      <c r="Q10" s="1">
        <v>1.3600000000000001E-3</v>
      </c>
      <c r="R10" s="1">
        <v>3.2500000000000003E-3</v>
      </c>
      <c r="S10" s="1">
        <v>0</v>
      </c>
      <c r="T10" s="1">
        <v>1.1000000000000001E-2</v>
      </c>
      <c r="V10" s="1">
        <v>2.9399999999999999E-3</v>
      </c>
      <c r="W10" s="1">
        <v>6.2300000000000003E-3</v>
      </c>
      <c r="X10" s="1">
        <v>0</v>
      </c>
      <c r="Y10" s="1">
        <v>2.3E-2</v>
      </c>
      <c r="AA10" s="1">
        <v>3.124E-2</v>
      </c>
      <c r="AB10" s="1">
        <v>3.9800000000000002E-2</v>
      </c>
      <c r="AC10" s="1">
        <v>0</v>
      </c>
      <c r="AD10" s="1">
        <v>0.13500000000000001</v>
      </c>
      <c r="AF10" s="1">
        <v>7.9649999999999999E-2</v>
      </c>
      <c r="AG10" s="1">
        <v>5.8179999999999996E-2</v>
      </c>
      <c r="AH10" s="1">
        <v>0</v>
      </c>
      <c r="AI10" s="1">
        <v>0.20800000000000002</v>
      </c>
      <c r="AK10" s="1">
        <v>0.26938000000000001</v>
      </c>
      <c r="AL10" s="1">
        <v>0.10307000000000001</v>
      </c>
      <c r="AM10" s="1">
        <v>8.5999999999999993E-2</v>
      </c>
      <c r="AN10" s="1">
        <v>0.48700000000000004</v>
      </c>
      <c r="AP10" s="1">
        <v>0.39560000000000001</v>
      </c>
      <c r="AQ10" s="1">
        <v>7.825E-2</v>
      </c>
      <c r="AR10" s="1">
        <v>0.251</v>
      </c>
      <c r="AS10" s="1">
        <v>0.55301999999999996</v>
      </c>
      <c r="AU10" s="1">
        <v>0.31152999999999997</v>
      </c>
      <c r="AV10" s="1">
        <v>8.7970000000000007E-2</v>
      </c>
      <c r="AW10" s="1">
        <v>0.153</v>
      </c>
      <c r="AX10" s="1">
        <v>0.49200000000000005</v>
      </c>
      <c r="AZ10" s="1">
        <v>0.11641</v>
      </c>
      <c r="BA10" s="1">
        <v>9.3870000000000009E-2</v>
      </c>
      <c r="BB10" s="1">
        <v>0</v>
      </c>
      <c r="BC10" s="1">
        <v>0.34700000000000003</v>
      </c>
      <c r="BE10" s="1">
        <v>4.9425629620198093E-2</v>
      </c>
      <c r="BF10" s="1">
        <v>7.2471642578805315E-3</v>
      </c>
      <c r="BG10" s="1">
        <v>3.5221187674752255E-2</v>
      </c>
      <c r="BH10" s="1">
        <v>6.3630071565643931E-2</v>
      </c>
      <c r="BJ10" s="1">
        <v>2.9320930878034314E-3</v>
      </c>
      <c r="BK10" s="1">
        <v>2.5099177153901321E-3</v>
      </c>
      <c r="BL10" s="1">
        <v>0</v>
      </c>
      <c r="BM10" s="1">
        <v>7.851531809968091E-3</v>
      </c>
      <c r="BO10" s="1">
        <v>0.29987362072297763</v>
      </c>
      <c r="BP10" s="1">
        <v>4.426697855352664E-2</v>
      </c>
      <c r="BQ10" s="1">
        <v>0.21311034275806542</v>
      </c>
      <c r="BR10" s="1">
        <v>0.38663689868788986</v>
      </c>
    </row>
    <row r="11" spans="1:70" x14ac:dyDescent="0.25">
      <c r="A11" t="s">
        <v>39</v>
      </c>
      <c r="B11" s="1">
        <v>2.7400000000000002E-3</v>
      </c>
      <c r="C11" s="1">
        <v>5.79E-3</v>
      </c>
      <c r="D11" s="1">
        <v>0</v>
      </c>
      <c r="E11" s="1">
        <v>2.1000000000000001E-2</v>
      </c>
      <c r="G11" s="1">
        <v>2.97E-3</v>
      </c>
      <c r="H11" s="1">
        <v>5.5700000000000003E-3</v>
      </c>
      <c r="I11" s="1">
        <v>0</v>
      </c>
      <c r="J11" s="1">
        <v>0.02</v>
      </c>
      <c r="L11" s="1">
        <v>1.4199999999999998E-3</v>
      </c>
      <c r="M11" s="1">
        <v>2.9199999999999999E-3</v>
      </c>
      <c r="N11" s="1">
        <v>0</v>
      </c>
      <c r="O11" s="1">
        <v>0.01</v>
      </c>
      <c r="Q11" s="1">
        <v>1.06E-3</v>
      </c>
      <c r="R11" s="1">
        <v>2.0799999999999998E-3</v>
      </c>
      <c r="S11" s="1">
        <v>0</v>
      </c>
      <c r="T11" s="1">
        <v>6.9999999999999993E-3</v>
      </c>
      <c r="V11" s="1">
        <v>2.8170000000000001E-2</v>
      </c>
      <c r="W11" s="1">
        <v>1.3859999999999999E-2</v>
      </c>
      <c r="X11" s="1">
        <v>4.0000000000000001E-3</v>
      </c>
      <c r="Y11" s="1">
        <v>5.9000000000000004E-2</v>
      </c>
      <c r="AA11" s="1">
        <v>3.4200000000000003E-3</v>
      </c>
      <c r="AB11" s="1">
        <v>7.8200000000000006E-3</v>
      </c>
      <c r="AC11" s="1">
        <v>0</v>
      </c>
      <c r="AD11" s="1">
        <v>2.5000000000000001E-2</v>
      </c>
      <c r="AF11" s="1">
        <v>5.5739999999999998E-2</v>
      </c>
      <c r="AG11" s="1">
        <v>5.0339999999999996E-2</v>
      </c>
      <c r="AH11" s="1">
        <v>0</v>
      </c>
      <c r="AI11" s="1">
        <v>0.17399999999999999</v>
      </c>
      <c r="AK11" s="1">
        <v>0.19859000000000002</v>
      </c>
      <c r="AL11" s="1">
        <v>8.5800000000000001E-2</v>
      </c>
      <c r="AM11" s="1">
        <v>0.02</v>
      </c>
      <c r="AN11" s="1">
        <v>0.36599999999999999</v>
      </c>
      <c r="AP11" s="1">
        <v>0.18504000000000001</v>
      </c>
      <c r="AQ11" s="1">
        <v>6.1120000000000001E-2</v>
      </c>
      <c r="AR11" s="1">
        <v>7.400000000000001E-2</v>
      </c>
      <c r="AS11" s="1">
        <v>0.31</v>
      </c>
      <c r="AU11" s="1">
        <v>0.19255</v>
      </c>
      <c r="AV11" s="1">
        <v>7.689E-2</v>
      </c>
      <c r="AW11" s="1">
        <v>5.398E-2</v>
      </c>
      <c r="AX11" s="1">
        <v>0.35299999999999998</v>
      </c>
      <c r="AZ11" s="1">
        <v>0.1114</v>
      </c>
      <c r="BA11" s="1">
        <v>0.10314</v>
      </c>
      <c r="BB11" s="1">
        <v>0</v>
      </c>
      <c r="BC11" s="1">
        <v>0.34502000000000005</v>
      </c>
      <c r="BE11" s="1">
        <v>3.1216557653734447E-2</v>
      </c>
      <c r="BF11" s="1">
        <v>6.1083014485696675E-3</v>
      </c>
      <c r="BG11" s="1">
        <v>1.9244286814537902E-2</v>
      </c>
      <c r="BH11" s="1">
        <v>4.3188828492930993E-2</v>
      </c>
      <c r="BJ11" s="1">
        <v>5.7817415207022001E-3</v>
      </c>
      <c r="BK11" s="1">
        <v>2.6549095065558858E-3</v>
      </c>
      <c r="BL11" s="1">
        <v>5.7811888785266365E-4</v>
      </c>
      <c r="BM11" s="1">
        <v>1.0985364153551736E-2</v>
      </c>
      <c r="BO11" s="1">
        <v>0.16822696984614932</v>
      </c>
      <c r="BP11" s="1">
        <v>3.6296197610738622E-2</v>
      </c>
      <c r="BQ11" s="1">
        <v>9.7086422529101629E-2</v>
      </c>
      <c r="BR11" s="1">
        <v>0.23936751716319701</v>
      </c>
    </row>
    <row r="12" spans="1:70" x14ac:dyDescent="0.25">
      <c r="A12" t="s">
        <v>14</v>
      </c>
      <c r="B12" s="1">
        <v>3.5999999999999997E-4</v>
      </c>
      <c r="C12" s="1">
        <v>1.49E-3</v>
      </c>
      <c r="D12" s="1">
        <v>0</v>
      </c>
      <c r="E12" s="1">
        <v>3.0000000000000001E-3</v>
      </c>
      <c r="G12" s="1">
        <v>4.0000000000000002E-4</v>
      </c>
      <c r="H12" s="1">
        <v>1.5399999999999999E-3</v>
      </c>
      <c r="I12" s="1">
        <v>0</v>
      </c>
      <c r="J12" s="1">
        <v>4.0000000000000001E-3</v>
      </c>
      <c r="L12" s="1">
        <v>2.8000000000000003E-4</v>
      </c>
      <c r="M12" s="1">
        <v>1.0499999999999999E-3</v>
      </c>
      <c r="N12" s="1">
        <v>0</v>
      </c>
      <c r="O12" s="1">
        <v>2E-3</v>
      </c>
      <c r="Q12" s="1">
        <v>2.5999999999999998E-4</v>
      </c>
      <c r="R12" s="1">
        <v>8.699999999999999E-4</v>
      </c>
      <c r="S12" s="1">
        <v>0</v>
      </c>
      <c r="T12" s="1">
        <v>2E-3</v>
      </c>
      <c r="V12" s="1">
        <v>1.08E-3</v>
      </c>
      <c r="W12" s="1">
        <v>3.7199999999999998E-3</v>
      </c>
      <c r="X12" s="1">
        <v>0</v>
      </c>
      <c r="Y12" s="1">
        <v>1.3000000000000001E-2</v>
      </c>
      <c r="AA12" s="1">
        <v>7.000000000000001E-4</v>
      </c>
      <c r="AB12" s="1">
        <v>3.5999999999999999E-3</v>
      </c>
      <c r="AC12" s="1">
        <v>0</v>
      </c>
      <c r="AD12" s="1">
        <v>6.9999999999999993E-3</v>
      </c>
      <c r="AF12" s="1">
        <v>3.96E-3</v>
      </c>
      <c r="AG12" s="1">
        <v>1.5529999999999999E-2</v>
      </c>
      <c r="AH12" s="1">
        <v>0</v>
      </c>
      <c r="AI12" s="1">
        <v>5.5E-2</v>
      </c>
      <c r="AK12" s="1">
        <v>0.15060000000000001</v>
      </c>
      <c r="AL12" s="1">
        <v>8.8620000000000004E-2</v>
      </c>
      <c r="AM12" s="1">
        <v>0</v>
      </c>
      <c r="AN12" s="1">
        <v>0.316</v>
      </c>
      <c r="AP12" s="1">
        <v>4.3200000000000001E-3</v>
      </c>
      <c r="AQ12" s="1">
        <v>1.44E-2</v>
      </c>
      <c r="AR12" s="1">
        <v>0</v>
      </c>
      <c r="AS12" s="1">
        <v>5.5999999999999994E-2</v>
      </c>
      <c r="AU12" s="1">
        <v>3.5899999999999999E-3</v>
      </c>
      <c r="AV12" s="1">
        <v>1.3839999999999998E-2</v>
      </c>
      <c r="AW12" s="1">
        <v>0</v>
      </c>
      <c r="AX12" s="1">
        <v>4.4999999999999998E-2</v>
      </c>
      <c r="AZ12" s="1">
        <v>1.8349999999999998E-2</v>
      </c>
      <c r="BA12" s="1">
        <v>4.3230000000000005E-2</v>
      </c>
      <c r="BB12" s="1">
        <v>0</v>
      </c>
      <c r="BC12" s="1">
        <v>0.159</v>
      </c>
      <c r="BE12" s="1">
        <v>5.1955139307519127E-3</v>
      </c>
      <c r="BF12" s="1">
        <v>2.822795672158348E-3</v>
      </c>
      <c r="BG12" s="1">
        <v>0</v>
      </c>
      <c r="BH12" s="1">
        <v>1.0728193448182275E-2</v>
      </c>
      <c r="BJ12" s="1">
        <v>4.2677947123788065E-4</v>
      </c>
      <c r="BK12" s="1">
        <v>8.0247944737510206E-4</v>
      </c>
      <c r="BL12" s="1">
        <v>0</v>
      </c>
      <c r="BM12" s="1">
        <v>1.9996391880930807E-3</v>
      </c>
      <c r="BO12" s="1">
        <v>3.0883384859988261E-2</v>
      </c>
      <c r="BP12" s="1">
        <v>1.7502515932185773E-2</v>
      </c>
      <c r="BQ12" s="1">
        <v>0</v>
      </c>
      <c r="BR12" s="1">
        <v>6.5188316087072373E-2</v>
      </c>
    </row>
    <row r="13" spans="1:70" x14ac:dyDescent="0.25">
      <c r="A13" t="s">
        <v>15</v>
      </c>
      <c r="B13" s="1">
        <v>2.4599999999999999E-3</v>
      </c>
      <c r="C13" s="1">
        <v>5.5800000000000008E-3</v>
      </c>
      <c r="D13" s="1">
        <v>0</v>
      </c>
      <c r="E13" s="1">
        <v>0.02</v>
      </c>
      <c r="G13" s="1">
        <v>2.65E-3</v>
      </c>
      <c r="H13" s="1">
        <v>5.3900000000000007E-3</v>
      </c>
      <c r="I13" s="1">
        <v>0</v>
      </c>
      <c r="J13" s="1">
        <v>0.02</v>
      </c>
      <c r="L13" s="1">
        <v>1.2199999999999999E-3</v>
      </c>
      <c r="M13" s="1">
        <v>2.7500000000000003E-3</v>
      </c>
      <c r="N13" s="1">
        <v>0</v>
      </c>
      <c r="O13" s="1">
        <v>9.0000000000000011E-3</v>
      </c>
      <c r="Q13" s="1">
        <v>8.8999999999999995E-4</v>
      </c>
      <c r="R13" s="1">
        <v>1.92E-3</v>
      </c>
      <c r="S13" s="1">
        <v>0</v>
      </c>
      <c r="T13" s="1">
        <v>6.9999999999999993E-3</v>
      </c>
      <c r="V13" s="1">
        <v>2.7140000000000001E-2</v>
      </c>
      <c r="W13" s="1">
        <v>1.393E-2</v>
      </c>
      <c r="X13" s="1">
        <v>1.98E-3</v>
      </c>
      <c r="Y13" s="1">
        <v>5.7999999999999996E-2</v>
      </c>
      <c r="AA13" s="1">
        <v>2.8000000000000004E-3</v>
      </c>
      <c r="AB13" s="1">
        <v>6.9499999999999996E-3</v>
      </c>
      <c r="AC13" s="1">
        <v>0</v>
      </c>
      <c r="AD13" s="1">
        <v>2.2000000000000002E-2</v>
      </c>
      <c r="AF13" s="1">
        <v>5.1830000000000001E-2</v>
      </c>
      <c r="AG13" s="1">
        <v>4.8600000000000004E-2</v>
      </c>
      <c r="AH13" s="1">
        <v>0</v>
      </c>
      <c r="AI13" s="1">
        <v>0.16699999999999998</v>
      </c>
      <c r="AK13" s="1">
        <v>4.8029999999999996E-2</v>
      </c>
      <c r="AL13" s="1">
        <v>6.5099999999999991E-2</v>
      </c>
      <c r="AM13" s="1">
        <v>0</v>
      </c>
      <c r="AN13" s="1">
        <v>0.21899999999999997</v>
      </c>
      <c r="AP13" s="1">
        <v>0.18082000000000001</v>
      </c>
      <c r="AQ13" s="1">
        <v>6.0420000000000001E-2</v>
      </c>
      <c r="AR13" s="1">
        <v>7.0999999999999994E-2</v>
      </c>
      <c r="AS13" s="1">
        <v>0.30499999999999999</v>
      </c>
      <c r="AU13" s="1">
        <v>0.18903999999999999</v>
      </c>
      <c r="AV13" s="1">
        <v>7.603E-2</v>
      </c>
      <c r="AW13" s="1">
        <v>5.2000000000000005E-2</v>
      </c>
      <c r="AX13" s="1">
        <v>0.34799999999999998</v>
      </c>
      <c r="AZ13" s="1">
        <v>9.3089999999999992E-2</v>
      </c>
      <c r="BA13" s="1">
        <v>9.9730000000000013E-2</v>
      </c>
      <c r="BB13" s="1">
        <v>0</v>
      </c>
      <c r="BC13" s="1">
        <v>0.32799999999999996</v>
      </c>
      <c r="BE13" s="1">
        <v>2.6098421765740006E-2</v>
      </c>
      <c r="BF13" s="1">
        <v>5.8413066470700964E-3</v>
      </c>
      <c r="BG13" s="1">
        <v>1.4649460737482618E-2</v>
      </c>
      <c r="BH13" s="1">
        <v>3.7547382793997393E-2</v>
      </c>
      <c r="BJ13" s="1">
        <v>5.4327487466033384E-3</v>
      </c>
      <c r="BK13" s="1">
        <v>2.6145249472725616E-3</v>
      </c>
      <c r="BL13" s="1">
        <v>3.0827984994911788E-4</v>
      </c>
      <c r="BM13" s="1">
        <v>1.0557217643257559E-2</v>
      </c>
      <c r="BO13" s="1">
        <v>0.13741876171930556</v>
      </c>
      <c r="BP13" s="1">
        <v>3.4546318752587825E-2</v>
      </c>
      <c r="BQ13" s="1">
        <v>6.970797696423342E-2</v>
      </c>
      <c r="BR13" s="1">
        <v>0.2051295464743777</v>
      </c>
    </row>
    <row r="14" spans="1:70" x14ac:dyDescent="0.25">
      <c r="A14" t="s">
        <v>40</v>
      </c>
      <c r="B14" s="1">
        <v>8.3000000000000001E-4</v>
      </c>
      <c r="C14" s="1">
        <v>2.1099999999999999E-3</v>
      </c>
      <c r="D14" s="1">
        <v>0</v>
      </c>
      <c r="E14" s="1">
        <v>6.9999999999999993E-3</v>
      </c>
      <c r="G14" s="1">
        <v>7.6999999999999996E-4</v>
      </c>
      <c r="H14" s="1">
        <v>1.8799999999999999E-3</v>
      </c>
      <c r="I14" s="1">
        <v>0</v>
      </c>
      <c r="J14" s="1">
        <v>6.0000000000000001E-3</v>
      </c>
      <c r="L14" s="1">
        <v>6.9000000000000008E-4</v>
      </c>
      <c r="M14" s="1">
        <v>1.64E-3</v>
      </c>
      <c r="N14" s="1">
        <v>0</v>
      </c>
      <c r="O14" s="1">
        <v>5.0000000000000001E-3</v>
      </c>
      <c r="Q14" s="1">
        <v>9.2000000000000003E-4</v>
      </c>
      <c r="R14" s="1">
        <v>2.1700000000000001E-3</v>
      </c>
      <c r="S14" s="1">
        <v>0</v>
      </c>
      <c r="T14" s="1">
        <v>7.0199999999999993E-3</v>
      </c>
      <c r="V14" s="1">
        <v>8.7999999999999992E-4</v>
      </c>
      <c r="W14" s="1">
        <v>2.1700000000000001E-3</v>
      </c>
      <c r="X14" s="1">
        <v>0</v>
      </c>
      <c r="Y14" s="1">
        <v>6.9999999999999993E-3</v>
      </c>
      <c r="AA14" s="1">
        <v>1.67E-3</v>
      </c>
      <c r="AB14" s="1">
        <v>4.6300000000000004E-3</v>
      </c>
      <c r="AC14" s="1">
        <v>0</v>
      </c>
      <c r="AD14" s="1">
        <v>1.4999999999999999E-2</v>
      </c>
      <c r="AF14" s="1">
        <v>2.1900000000000001E-3</v>
      </c>
      <c r="AG14" s="1">
        <v>5.9199999999999999E-3</v>
      </c>
      <c r="AH14" s="1">
        <v>0</v>
      </c>
      <c r="AI14" s="1">
        <v>0.02</v>
      </c>
      <c r="AK14" s="1">
        <v>7.911E-2</v>
      </c>
      <c r="AL14" s="1">
        <v>3.295E-2</v>
      </c>
      <c r="AM14" s="1">
        <v>2.6000000000000002E-2</v>
      </c>
      <c r="AN14" s="1">
        <v>0.153</v>
      </c>
      <c r="AP14" s="1">
        <v>0.10067</v>
      </c>
      <c r="AQ14" s="1">
        <v>2.614E-2</v>
      </c>
      <c r="AR14" s="1">
        <v>5.5999999999999994E-2</v>
      </c>
      <c r="AS14" s="1">
        <v>0.158</v>
      </c>
      <c r="AU14" s="1">
        <v>0.10668</v>
      </c>
      <c r="AV14" s="1">
        <v>3.5520000000000003E-2</v>
      </c>
      <c r="AW14" s="1">
        <v>4.7E-2</v>
      </c>
      <c r="AX14" s="1">
        <v>0.18600000000000003</v>
      </c>
      <c r="AZ14" s="1">
        <v>0.14611000000000002</v>
      </c>
      <c r="BA14" s="1">
        <v>6.3939999999999997E-2</v>
      </c>
      <c r="BB14" s="1">
        <v>4.4979999999999999E-2</v>
      </c>
      <c r="BC14" s="1">
        <v>0.29100000000000004</v>
      </c>
      <c r="BE14" s="1">
        <v>1.5298423278804029E-2</v>
      </c>
      <c r="BF14" s="1">
        <v>2.6554535192582318E-3</v>
      </c>
      <c r="BG14" s="1">
        <v>1.0093734381057894E-2</v>
      </c>
      <c r="BH14" s="1">
        <v>2.0503112176550164E-2</v>
      </c>
      <c r="BJ14" s="1">
        <v>8.220633691356404E-4</v>
      </c>
      <c r="BK14" s="1">
        <v>1.0025316056746117E-3</v>
      </c>
      <c r="BL14" s="1">
        <v>0</v>
      </c>
      <c r="BM14" s="1">
        <v>2.7870253162578795E-3</v>
      </c>
      <c r="BO14" s="1">
        <v>9.3278622856246829E-2</v>
      </c>
      <c r="BP14" s="1">
        <v>1.6076878653848461E-2</v>
      </c>
      <c r="BQ14" s="1">
        <v>6.1767940694703843E-2</v>
      </c>
      <c r="BR14" s="1">
        <v>0.12478930501778981</v>
      </c>
    </row>
    <row r="15" spans="1:70" x14ac:dyDescent="0.25">
      <c r="A15" t="s">
        <v>17</v>
      </c>
      <c r="B15" s="1">
        <v>5.8E-4</v>
      </c>
      <c r="C15" s="1">
        <v>1.7000000000000001E-3</v>
      </c>
      <c r="D15" s="1">
        <v>0</v>
      </c>
      <c r="E15" s="1">
        <v>5.0000000000000001E-3</v>
      </c>
      <c r="G15" s="1">
        <v>5.0000000000000001E-4</v>
      </c>
      <c r="H15" s="1">
        <v>1.3900000000000002E-3</v>
      </c>
      <c r="I15" s="1">
        <v>0</v>
      </c>
      <c r="J15" s="1">
        <v>4.0000000000000001E-3</v>
      </c>
      <c r="L15" s="1">
        <v>4.0999999999999999E-4</v>
      </c>
      <c r="M15" s="1">
        <v>1.0299999999999999E-3</v>
      </c>
      <c r="N15" s="1">
        <v>0</v>
      </c>
      <c r="O15" s="1">
        <v>3.0000000000000001E-3</v>
      </c>
      <c r="Q15" s="1">
        <v>3.7999999999999997E-4</v>
      </c>
      <c r="R15" s="1">
        <v>9.7000000000000005E-4</v>
      </c>
      <c r="S15" s="1">
        <v>0</v>
      </c>
      <c r="T15" s="1">
        <v>3.0000000000000001E-3</v>
      </c>
      <c r="V15" s="1">
        <v>5.0000000000000001E-4</v>
      </c>
      <c r="W15" s="1">
        <v>1.3800000000000002E-3</v>
      </c>
      <c r="X15" s="1">
        <v>0</v>
      </c>
      <c r="Y15" s="1">
        <v>4.0000000000000001E-3</v>
      </c>
      <c r="AA15" s="1">
        <v>1.15E-3</v>
      </c>
      <c r="AB15" s="1">
        <v>3.9199999999999999E-3</v>
      </c>
      <c r="AC15" s="1">
        <v>0</v>
      </c>
      <c r="AD15" s="1">
        <v>1.1000000000000001E-2</v>
      </c>
      <c r="AF15" s="1">
        <v>1.5499999999999999E-3</v>
      </c>
      <c r="AG15" s="1">
        <v>4.96E-3</v>
      </c>
      <c r="AH15" s="1">
        <v>0</v>
      </c>
      <c r="AI15" s="1">
        <v>1.6E-2</v>
      </c>
      <c r="AK15" s="1">
        <v>7.8350000000000003E-2</v>
      </c>
      <c r="AL15" s="1">
        <v>3.2680000000000001E-2</v>
      </c>
      <c r="AM15" s="1">
        <v>2.6000000000000002E-2</v>
      </c>
      <c r="AN15" s="1">
        <v>0.152</v>
      </c>
      <c r="AP15" s="1">
        <v>9.6250000000000002E-2</v>
      </c>
      <c r="AQ15" s="1">
        <v>2.4399999999999998E-2</v>
      </c>
      <c r="AR15" s="1">
        <v>5.2999999999999999E-2</v>
      </c>
      <c r="AS15" s="1">
        <v>0.14899999999999999</v>
      </c>
      <c r="AU15" s="1">
        <v>0.10536</v>
      </c>
      <c r="AV15" s="1">
        <v>3.5070000000000004E-2</v>
      </c>
      <c r="AW15" s="1">
        <v>4.5999999999999999E-2</v>
      </c>
      <c r="AX15" s="1">
        <v>0.184</v>
      </c>
      <c r="AZ15" s="1">
        <v>0.11582000000000001</v>
      </c>
      <c r="BA15" s="1">
        <v>5.0930000000000003E-2</v>
      </c>
      <c r="BB15" s="1">
        <v>3.4000000000000002E-2</v>
      </c>
      <c r="BC15" s="1">
        <v>0.23</v>
      </c>
      <c r="BE15" s="1">
        <v>1.409727650759701E-2</v>
      </c>
      <c r="BF15" s="1">
        <v>2.3812212654336909E-3</v>
      </c>
      <c r="BG15" s="1">
        <v>9.430082827346975E-3</v>
      </c>
      <c r="BH15" s="1">
        <v>1.8764470187847045E-2</v>
      </c>
      <c r="BJ15" s="1">
        <v>4.5438185170994038E-4</v>
      </c>
      <c r="BK15" s="1">
        <v>5.9253786247458347E-4</v>
      </c>
      <c r="BL15" s="1">
        <v>0</v>
      </c>
      <c r="BM15" s="1">
        <v>1.6157560621601239E-3</v>
      </c>
      <c r="BO15" s="1">
        <v>8.7587826253432366E-2</v>
      </c>
      <c r="BP15" s="1">
        <v>1.4869492896398101E-2</v>
      </c>
      <c r="BQ15" s="1">
        <v>5.8443620176492087E-2</v>
      </c>
      <c r="BR15" s="1">
        <v>0.11673203233037265</v>
      </c>
    </row>
    <row r="16" spans="1:70" x14ac:dyDescent="0.25">
      <c r="A16" t="s">
        <v>18</v>
      </c>
      <c r="B16" s="1">
        <v>3.1E-4</v>
      </c>
      <c r="C16" s="1">
        <v>1.2999999999999999E-3</v>
      </c>
      <c r="D16" s="1">
        <v>0</v>
      </c>
      <c r="E16" s="1">
        <v>3.0000000000000001E-3</v>
      </c>
      <c r="G16" s="1">
        <v>3.3E-4</v>
      </c>
      <c r="H16" s="1">
        <v>1.31E-3</v>
      </c>
      <c r="I16" s="1">
        <v>0</v>
      </c>
      <c r="J16" s="1">
        <v>3.0000000000000001E-3</v>
      </c>
      <c r="L16" s="1">
        <v>3.4000000000000002E-4</v>
      </c>
      <c r="M16" s="1">
        <v>1.32E-3</v>
      </c>
      <c r="N16" s="1">
        <v>0</v>
      </c>
      <c r="O16" s="1">
        <v>3.0000000000000001E-3</v>
      </c>
      <c r="Q16" s="1">
        <v>6.0999999999999997E-4</v>
      </c>
      <c r="R16" s="1">
        <v>1.98E-3</v>
      </c>
      <c r="S16" s="1">
        <v>0</v>
      </c>
      <c r="T16" s="1">
        <v>6.9999999999999993E-3</v>
      </c>
      <c r="V16" s="1">
        <v>4.4999999999999999E-4</v>
      </c>
      <c r="W16" s="1">
        <v>1.7100000000000001E-3</v>
      </c>
      <c r="X16" s="1">
        <v>0</v>
      </c>
      <c r="Y16" s="1">
        <v>4.0000000000000001E-3</v>
      </c>
      <c r="AA16" s="1">
        <v>5.8E-4</v>
      </c>
      <c r="AB16" s="1">
        <v>2.48E-3</v>
      </c>
      <c r="AC16" s="1">
        <v>0</v>
      </c>
      <c r="AD16" s="1">
        <v>6.0000000000000001E-3</v>
      </c>
      <c r="AF16" s="1">
        <v>7.000000000000001E-4</v>
      </c>
      <c r="AG16" s="1">
        <v>3.2400000000000003E-3</v>
      </c>
      <c r="AH16" s="1">
        <v>0</v>
      </c>
      <c r="AI16" s="1">
        <v>8.0000000000000002E-3</v>
      </c>
      <c r="AK16" s="1">
        <v>8.3000000000000001E-4</v>
      </c>
      <c r="AL16" s="1">
        <v>4.2300000000000003E-3</v>
      </c>
      <c r="AM16" s="1">
        <v>0</v>
      </c>
      <c r="AN16" s="1">
        <v>8.0000000000000002E-3</v>
      </c>
      <c r="AP16" s="1">
        <v>4.45E-3</v>
      </c>
      <c r="AQ16" s="1">
        <v>9.3100000000000006E-3</v>
      </c>
      <c r="AR16" s="1">
        <v>0</v>
      </c>
      <c r="AS16" s="1">
        <v>3.3000000000000002E-2</v>
      </c>
      <c r="AU16" s="1">
        <v>1.3900000000000002E-3</v>
      </c>
      <c r="AV16" s="1">
        <v>5.8099999999999992E-3</v>
      </c>
      <c r="AW16" s="1">
        <v>0</v>
      </c>
      <c r="AX16" s="1">
        <v>1.7000000000000001E-2</v>
      </c>
      <c r="AZ16" s="1">
        <v>3.0270000000000002E-2</v>
      </c>
      <c r="BA16" s="1">
        <v>4.2359999999999995E-2</v>
      </c>
      <c r="BB16" s="1">
        <v>0</v>
      </c>
      <c r="BC16" s="1">
        <v>0.14599999999999999</v>
      </c>
      <c r="BE16" s="1">
        <v>1.2616229353099469E-3</v>
      </c>
      <c r="BF16" s="1">
        <v>1.2190247801532952E-3</v>
      </c>
      <c r="BG16" s="1">
        <v>0</v>
      </c>
      <c r="BH16" s="1">
        <v>3.6509115044104055E-3</v>
      </c>
      <c r="BJ16" s="1">
        <v>4.3179009955415229E-4</v>
      </c>
      <c r="BK16" s="1">
        <v>8.3084401117740608E-4</v>
      </c>
      <c r="BL16" s="1">
        <v>0</v>
      </c>
      <c r="BM16" s="1">
        <v>2.0602443614618684E-3</v>
      </c>
      <c r="BO16" s="1">
        <v>5.7317059224656942E-3</v>
      </c>
      <c r="BP16" s="1">
        <v>6.3706251855995735E-3</v>
      </c>
      <c r="BQ16" s="1">
        <v>0</v>
      </c>
      <c r="BR16" s="1">
        <v>1.8218131286240856E-2</v>
      </c>
    </row>
    <row r="17" spans="1:70" x14ac:dyDescent="0.25">
      <c r="A17" t="s">
        <v>41</v>
      </c>
      <c r="B17" s="1">
        <v>8.09E-3</v>
      </c>
      <c r="C17" s="1">
        <v>1.291E-2</v>
      </c>
      <c r="D17" s="1">
        <v>0</v>
      </c>
      <c r="E17" s="1">
        <v>4.7E-2</v>
      </c>
      <c r="G17" s="1">
        <v>6.4400000000000004E-3</v>
      </c>
      <c r="H17" s="1">
        <v>8.369999999999999E-3</v>
      </c>
      <c r="I17" s="1">
        <v>0</v>
      </c>
      <c r="J17" s="1">
        <v>2.8999999999999998E-2</v>
      </c>
      <c r="L17" s="1">
        <v>3.0999999999999999E-3</v>
      </c>
      <c r="M17" s="1">
        <v>5.6899999999999997E-3</v>
      </c>
      <c r="N17" s="1">
        <v>0</v>
      </c>
      <c r="O17" s="1">
        <v>0.02</v>
      </c>
      <c r="Q17" s="1">
        <v>2.1199999999999999E-3</v>
      </c>
      <c r="R17" s="1">
        <v>4.0500000000000006E-3</v>
      </c>
      <c r="S17" s="1">
        <v>0</v>
      </c>
      <c r="T17" s="1">
        <v>1.3999999999999999E-2</v>
      </c>
      <c r="V17" s="1">
        <v>4.7799999999999995E-3</v>
      </c>
      <c r="W17" s="1">
        <v>8.1599999999999989E-3</v>
      </c>
      <c r="X17" s="1">
        <v>0</v>
      </c>
      <c r="Y17" s="1">
        <v>2.8999999999999998E-2</v>
      </c>
      <c r="AA17" s="1">
        <v>3.8599999999999995E-2</v>
      </c>
      <c r="AB17" s="1">
        <v>4.2790000000000002E-2</v>
      </c>
      <c r="AC17" s="1">
        <v>0</v>
      </c>
      <c r="AD17" s="1">
        <v>0.14699999999999999</v>
      </c>
      <c r="AF17" s="1">
        <v>8.2680000000000003E-2</v>
      </c>
      <c r="AG17" s="1">
        <v>5.8630000000000002E-2</v>
      </c>
      <c r="AH17" s="1">
        <v>0</v>
      </c>
      <c r="AI17" s="1">
        <v>0.21100000000000002</v>
      </c>
      <c r="AK17" s="1">
        <v>0.27528999999999998</v>
      </c>
      <c r="AL17" s="1">
        <v>0.10317</v>
      </c>
      <c r="AM17" s="1">
        <v>9.1999999999999998E-2</v>
      </c>
      <c r="AN17" s="1">
        <v>0.49099999999999999</v>
      </c>
      <c r="AP17" s="1">
        <v>0.59243999999999997</v>
      </c>
      <c r="AQ17" s="1">
        <v>7.3940000000000006E-2</v>
      </c>
      <c r="AR17" s="1">
        <v>0.44500000000000001</v>
      </c>
      <c r="AS17" s="1">
        <v>0.7340000000000001</v>
      </c>
      <c r="AU17" s="1">
        <v>0.57113999999999998</v>
      </c>
      <c r="AV17" s="1">
        <v>9.6610000000000001E-2</v>
      </c>
      <c r="AW17" s="1">
        <v>0.38</v>
      </c>
      <c r="AX17" s="1">
        <v>0.75902000000000003</v>
      </c>
      <c r="AZ17" s="1">
        <v>0.67786000000000002</v>
      </c>
      <c r="BA17" s="1">
        <v>0.11382999999999999</v>
      </c>
      <c r="BB17" s="1">
        <v>0.43497999999999998</v>
      </c>
      <c r="BC17" s="1">
        <v>0.87302000000000002</v>
      </c>
      <c r="BE17" s="1">
        <v>8.1379650813371826E-2</v>
      </c>
      <c r="BF17" s="1">
        <v>7.4324478212344841E-3</v>
      </c>
      <c r="BG17" s="1">
        <v>6.6812053083752238E-2</v>
      </c>
      <c r="BH17" s="1">
        <v>9.5947248542991415E-2</v>
      </c>
      <c r="BJ17" s="1">
        <v>4.7340735086847559E-3</v>
      </c>
      <c r="BK17" s="1">
        <v>3.4418365804702398E-3</v>
      </c>
      <c r="BL17" s="1">
        <v>0</v>
      </c>
      <c r="BM17" s="1">
        <v>1.1480073206406425E-2</v>
      </c>
      <c r="BO17" s="1">
        <v>0.494248455695464</v>
      </c>
      <c r="BP17" s="1">
        <v>4.3698594430050544E-2</v>
      </c>
      <c r="BQ17" s="1">
        <v>0.40859921061256493</v>
      </c>
      <c r="BR17" s="1">
        <v>0.579897700778363</v>
      </c>
    </row>
    <row r="18" spans="1:70" x14ac:dyDescent="0.25">
      <c r="A18" t="s">
        <v>44</v>
      </c>
      <c r="B18" s="1">
        <v>3.13E-3</v>
      </c>
      <c r="C18" s="1">
        <v>5.9299999999999995E-3</v>
      </c>
      <c r="D18" s="1">
        <v>0</v>
      </c>
      <c r="E18" s="1">
        <v>2.1000000000000001E-2</v>
      </c>
      <c r="G18" s="1">
        <v>3.2500000000000003E-3</v>
      </c>
      <c r="H18" s="1">
        <v>5.6599999999999992E-3</v>
      </c>
      <c r="I18" s="1">
        <v>0</v>
      </c>
      <c r="J18" s="1">
        <v>2.1000000000000001E-2</v>
      </c>
      <c r="L18" s="1">
        <v>1.7299999999999998E-3</v>
      </c>
      <c r="M18" s="1">
        <v>3.2100000000000002E-3</v>
      </c>
      <c r="N18" s="1">
        <v>0</v>
      </c>
      <c r="O18" s="1">
        <v>1.2E-2</v>
      </c>
      <c r="Q18" s="1">
        <v>1.65E-3</v>
      </c>
      <c r="R18" s="1">
        <v>2.8899999999999998E-3</v>
      </c>
      <c r="S18" s="1">
        <v>0</v>
      </c>
      <c r="T18" s="1">
        <v>0.01</v>
      </c>
      <c r="V18" s="1">
        <v>2.7879999999999999E-2</v>
      </c>
      <c r="W18" s="1">
        <v>1.4070000000000001E-2</v>
      </c>
      <c r="X18" s="1">
        <v>2E-3</v>
      </c>
      <c r="Y18" s="1">
        <v>5.9000000000000004E-2</v>
      </c>
      <c r="AA18" s="1">
        <v>4.3200000000000001E-3</v>
      </c>
      <c r="AB18" s="1">
        <v>8.4099999999999991E-3</v>
      </c>
      <c r="AC18" s="1">
        <v>0</v>
      </c>
      <c r="AD18" s="1">
        <v>2.802E-2</v>
      </c>
      <c r="AF18" s="1">
        <v>5.3899999999999997E-2</v>
      </c>
      <c r="AG18" s="1">
        <v>4.897E-2</v>
      </c>
      <c r="AH18" s="1">
        <v>0</v>
      </c>
      <c r="AI18" s="1">
        <v>0.17100000000000001</v>
      </c>
      <c r="AK18" s="1">
        <v>0.12711</v>
      </c>
      <c r="AL18" s="1">
        <v>7.2440000000000004E-2</v>
      </c>
      <c r="AM18" s="1">
        <v>3.3000000000000002E-2</v>
      </c>
      <c r="AN18" s="1">
        <v>0.30399999999999999</v>
      </c>
      <c r="AP18" s="1">
        <v>0.28151999999999999</v>
      </c>
      <c r="AQ18" s="1">
        <v>6.3539999999999999E-2</v>
      </c>
      <c r="AR18" s="1">
        <v>0.16300000000000001</v>
      </c>
      <c r="AS18" s="1">
        <v>0.41100000000000003</v>
      </c>
      <c r="AU18" s="1">
        <v>0.29576000000000002</v>
      </c>
      <c r="AV18" s="1">
        <v>8.0269999999999994E-2</v>
      </c>
      <c r="AW18" s="1">
        <v>0.14599999999999999</v>
      </c>
      <c r="AX18" s="1">
        <v>0.45700000000000002</v>
      </c>
      <c r="AZ18" s="1">
        <v>0.23924000000000001</v>
      </c>
      <c r="BA18" s="1">
        <v>0.10400000000000001</v>
      </c>
      <c r="BB18" s="1">
        <v>7.400000000000001E-2</v>
      </c>
      <c r="BC18" s="1">
        <v>0.46600000000000003</v>
      </c>
      <c r="BE18" s="1">
        <v>4.1257956010375622E-2</v>
      </c>
      <c r="BF18" s="1">
        <v>6.1859147329731004E-3</v>
      </c>
      <c r="BG18" s="1">
        <v>2.9133563133748347E-2</v>
      </c>
      <c r="BH18" s="1">
        <v>5.3382348887002898E-2</v>
      </c>
      <c r="BJ18" s="1">
        <v>6.088680091742002E-3</v>
      </c>
      <c r="BK18" s="1">
        <v>2.7976193839981504E-3</v>
      </c>
      <c r="BL18" s="1">
        <v>6.0534609910562701E-4</v>
      </c>
      <c r="BM18" s="1">
        <v>1.1572014084378378E-2</v>
      </c>
      <c r="BO18" s="1">
        <v>0.23070524609174151</v>
      </c>
      <c r="BP18" s="1">
        <v>3.6520637552657428E-2</v>
      </c>
      <c r="BQ18" s="1">
        <v>0.15912479648853295</v>
      </c>
      <c r="BR18" s="1">
        <v>0.30228569569495006</v>
      </c>
    </row>
    <row r="19" spans="1:70" x14ac:dyDescent="0.25">
      <c r="A19" t="s">
        <v>43</v>
      </c>
      <c r="B19" s="1">
        <v>5.6999999999999993E-3</v>
      </c>
      <c r="C19" s="1">
        <v>8.6400000000000001E-3</v>
      </c>
      <c r="D19" s="1">
        <v>0</v>
      </c>
      <c r="E19" s="1">
        <v>3.1E-2</v>
      </c>
      <c r="G19" s="1">
        <v>6.9699999999999996E-3</v>
      </c>
      <c r="H19" s="1">
        <v>8.5199999999999998E-3</v>
      </c>
      <c r="I19" s="1">
        <v>0</v>
      </c>
      <c r="J19" s="1">
        <v>0.03</v>
      </c>
      <c r="L19" s="1">
        <v>3.3700000000000002E-3</v>
      </c>
      <c r="M19" s="1">
        <v>4.96E-3</v>
      </c>
      <c r="N19" s="1">
        <v>0</v>
      </c>
      <c r="O19" s="1">
        <v>1.7000000000000001E-2</v>
      </c>
      <c r="Q19" s="1">
        <v>2.97E-3</v>
      </c>
      <c r="R19" s="1">
        <v>4.4299999999999999E-3</v>
      </c>
      <c r="S19" s="1">
        <v>0</v>
      </c>
      <c r="T19" s="1">
        <v>1.6E-2</v>
      </c>
      <c r="V19" s="1">
        <v>3.175E-2</v>
      </c>
      <c r="W19" s="1">
        <v>1.417E-2</v>
      </c>
      <c r="X19" s="1">
        <v>9.0000000000000011E-3</v>
      </c>
      <c r="Y19" s="1">
        <v>6.4000000000000001E-2</v>
      </c>
      <c r="AA19" s="1">
        <v>3.6089999999999997E-2</v>
      </c>
      <c r="AB19" s="1">
        <v>4.0480000000000002E-2</v>
      </c>
      <c r="AC19" s="1">
        <v>0</v>
      </c>
      <c r="AD19" s="1">
        <v>0.14199999999999999</v>
      </c>
      <c r="AF19" s="1">
        <v>0.13750999999999999</v>
      </c>
      <c r="AG19" s="1">
        <v>5.2639999999999999E-2</v>
      </c>
      <c r="AH19" s="1">
        <v>4.8000000000000001E-2</v>
      </c>
      <c r="AI19" s="1">
        <v>0.252</v>
      </c>
      <c r="AK19" s="1">
        <v>0.54720999999999997</v>
      </c>
      <c r="AL19" s="1">
        <v>7.5869999999999993E-2</v>
      </c>
      <c r="AM19" s="1">
        <v>0.39899999999999997</v>
      </c>
      <c r="AN19" s="1">
        <v>0.69299999999999995</v>
      </c>
      <c r="AP19" s="1">
        <v>0.68135000000000001</v>
      </c>
      <c r="AQ19" s="1">
        <v>5.9519999999999997E-2</v>
      </c>
      <c r="AR19" s="1">
        <v>0.56299999999999994</v>
      </c>
      <c r="AS19" s="1">
        <v>0.79500000000000004</v>
      </c>
      <c r="AU19" s="1">
        <v>0.61087000000000002</v>
      </c>
      <c r="AV19" s="1">
        <v>7.084E-2</v>
      </c>
      <c r="AW19" s="1">
        <v>0.46700000000000003</v>
      </c>
      <c r="AX19" s="1">
        <v>0.74400000000000011</v>
      </c>
      <c r="AZ19" s="1">
        <v>0.37404999999999999</v>
      </c>
      <c r="BA19" s="1">
        <v>0.11086</v>
      </c>
      <c r="BB19" s="1">
        <v>0.17100000000000001</v>
      </c>
      <c r="BC19" s="1">
        <v>0.60102</v>
      </c>
      <c r="BE19" s="1">
        <v>9.565673848486908E-2</v>
      </c>
      <c r="BF19" s="1">
        <v>6.2974455323458406E-3</v>
      </c>
      <c r="BG19" s="1">
        <v>8.3313745241471227E-2</v>
      </c>
      <c r="BH19" s="1">
        <v>0.10799973172826693</v>
      </c>
      <c r="BJ19" s="1">
        <v>9.1871047992602151E-3</v>
      </c>
      <c r="BK19" s="1">
        <v>3.6729650633323088E-3</v>
      </c>
      <c r="BL19" s="1">
        <v>1.98809327512889E-3</v>
      </c>
      <c r="BM19" s="1">
        <v>1.6386116323391542E-2</v>
      </c>
      <c r="BO19" s="1">
        <v>0.56144505365992403</v>
      </c>
      <c r="BP19" s="1">
        <v>3.5017098183606599E-2</v>
      </c>
      <c r="BQ19" s="1">
        <v>0.4928115412200551</v>
      </c>
      <c r="BR19" s="1">
        <v>0.63007856609979296</v>
      </c>
    </row>
    <row r="20" spans="1:70" x14ac:dyDescent="0.25">
      <c r="A20" t="s">
        <v>42</v>
      </c>
      <c r="B20" s="1">
        <v>0.99659999999999993</v>
      </c>
      <c r="C20" s="1">
        <v>6.13E-3</v>
      </c>
      <c r="D20" s="1">
        <v>0.97799999999999998</v>
      </c>
      <c r="E20" s="1">
        <v>1</v>
      </c>
      <c r="G20" s="1">
        <v>0.99643000000000004</v>
      </c>
      <c r="H20" s="1">
        <v>5.8199999999999997E-3</v>
      </c>
      <c r="I20" s="1">
        <v>0.97900000000000009</v>
      </c>
      <c r="J20" s="1">
        <v>1</v>
      </c>
      <c r="L20" s="1">
        <v>0.99808999999999992</v>
      </c>
      <c r="M20" s="1">
        <v>3.3500000000000001E-3</v>
      </c>
      <c r="N20" s="1">
        <v>0.98799999999999999</v>
      </c>
      <c r="O20" s="1">
        <v>1</v>
      </c>
      <c r="Q20" s="1">
        <v>0.99819999999999998</v>
      </c>
      <c r="R20" s="1">
        <v>3.0000000000000001E-3</v>
      </c>
      <c r="S20" s="1">
        <v>0.9890000000000001</v>
      </c>
      <c r="T20" s="1">
        <v>1</v>
      </c>
      <c r="V20" s="1">
        <v>0.97109999999999996</v>
      </c>
      <c r="W20" s="1">
        <v>1.3979999999999999E-2</v>
      </c>
      <c r="X20" s="1">
        <v>0.94</v>
      </c>
      <c r="Y20" s="1">
        <v>0.995</v>
      </c>
      <c r="AA20" s="1">
        <v>0.99507999999999996</v>
      </c>
      <c r="AB20" s="1">
        <v>9.11E-3</v>
      </c>
      <c r="AC20" s="1">
        <v>0.96799999999999997</v>
      </c>
      <c r="AD20" s="1">
        <v>1</v>
      </c>
      <c r="AF20" s="1">
        <v>0.94220000000000004</v>
      </c>
      <c r="AG20" s="1">
        <v>5.067E-2</v>
      </c>
      <c r="AH20" s="1">
        <v>0.82298000000000004</v>
      </c>
      <c r="AI20" s="1">
        <v>1</v>
      </c>
      <c r="AK20" s="1">
        <v>0.72223999999999999</v>
      </c>
      <c r="AL20" s="1">
        <v>8.617000000000001E-2</v>
      </c>
      <c r="AM20" s="1">
        <v>0.55498000000000003</v>
      </c>
      <c r="AN20" s="1">
        <v>0.89500000000000002</v>
      </c>
      <c r="AP20" s="1">
        <v>0.71421000000000001</v>
      </c>
      <c r="AQ20" s="1">
        <v>6.4160000000000009E-2</v>
      </c>
      <c r="AR20" s="1">
        <v>0.58200000000000007</v>
      </c>
      <c r="AS20" s="1">
        <v>0.83299999999999996</v>
      </c>
      <c r="AU20" s="1">
        <v>0.70069999999999988</v>
      </c>
      <c r="AV20" s="1">
        <v>8.1050000000000011E-2</v>
      </c>
      <c r="AW20" s="1">
        <v>0.53700000000000003</v>
      </c>
      <c r="AX20" s="1">
        <v>0.85199999999999998</v>
      </c>
      <c r="AZ20" s="1">
        <v>0.74245000000000005</v>
      </c>
      <c r="BA20" s="1">
        <v>0.10583000000000001</v>
      </c>
      <c r="BB20" s="1">
        <v>0.51497999999999999</v>
      </c>
      <c r="BC20" s="1">
        <v>0.91700000000000004</v>
      </c>
      <c r="BE20" s="1">
        <v>0.95363130710460653</v>
      </c>
      <c r="BF20" s="1">
        <v>6.3740162670932708E-3</v>
      </c>
      <c r="BG20" s="1">
        <v>0.94113823522110374</v>
      </c>
      <c r="BH20" s="1">
        <v>0.96612437898810932</v>
      </c>
      <c r="BJ20" s="1">
        <v>0.99357899292980023</v>
      </c>
      <c r="BK20" s="1">
        <v>2.8311059418752566E-3</v>
      </c>
      <c r="BL20" s="1">
        <v>0.98803002528372474</v>
      </c>
      <c r="BM20" s="1">
        <v>0.99912796057587572</v>
      </c>
      <c r="BO20" s="1">
        <v>0.73844402710163481</v>
      </c>
      <c r="BP20" s="1">
        <v>3.7744621473978356E-2</v>
      </c>
      <c r="BQ20" s="1">
        <v>0.66446456901263729</v>
      </c>
      <c r="BR20" s="1">
        <v>0.81242348519063234</v>
      </c>
    </row>
    <row r="21" spans="1:70" x14ac:dyDescent="0.25">
      <c r="A21" t="s">
        <v>21</v>
      </c>
      <c r="B21" s="1">
        <v>3.4000000000000002E-3</v>
      </c>
      <c r="C21" s="1">
        <v>6.13E-3</v>
      </c>
      <c r="D21" s="1">
        <v>0</v>
      </c>
      <c r="E21" s="1">
        <v>2.2000000000000002E-2</v>
      </c>
      <c r="G21" s="1">
        <v>3.5699999999999998E-3</v>
      </c>
      <c r="H21" s="1">
        <v>5.8399999999999997E-3</v>
      </c>
      <c r="I21" s="1">
        <v>0</v>
      </c>
      <c r="J21" s="1">
        <v>2.1000000000000001E-2</v>
      </c>
      <c r="L21" s="1">
        <v>1.91E-3</v>
      </c>
      <c r="M21" s="1">
        <v>3.3600000000000001E-3</v>
      </c>
      <c r="N21" s="1">
        <v>0</v>
      </c>
      <c r="O21" s="1">
        <v>1.2E-2</v>
      </c>
      <c r="Q21" s="1">
        <v>1.8E-3</v>
      </c>
      <c r="R21" s="1">
        <v>3.0000000000000001E-3</v>
      </c>
      <c r="S21" s="1">
        <v>0</v>
      </c>
      <c r="T21" s="1">
        <v>1.1000000000000001E-2</v>
      </c>
      <c r="V21" s="1">
        <v>2.8900000000000002E-2</v>
      </c>
      <c r="W21" s="1">
        <v>1.3979999999999999E-2</v>
      </c>
      <c r="X21" s="1">
        <v>4.0000000000000001E-3</v>
      </c>
      <c r="Y21" s="1">
        <v>0.06</v>
      </c>
      <c r="AA21" s="1">
        <v>4.9199999999999999E-3</v>
      </c>
      <c r="AB21" s="1">
        <v>9.1199999999999996E-3</v>
      </c>
      <c r="AC21" s="1">
        <v>0</v>
      </c>
      <c r="AD21" s="1">
        <v>3.1E-2</v>
      </c>
      <c r="AF21" s="1">
        <v>5.7800000000000004E-2</v>
      </c>
      <c r="AG21" s="1">
        <v>5.0679999999999996E-2</v>
      </c>
      <c r="AH21" s="1">
        <v>0</v>
      </c>
      <c r="AI21" s="1">
        <v>0.17702000000000001</v>
      </c>
      <c r="AK21" s="1">
        <v>0.27776000000000001</v>
      </c>
      <c r="AL21" s="1">
        <v>8.6180000000000007E-2</v>
      </c>
      <c r="AM21" s="1">
        <v>0.10400000000000001</v>
      </c>
      <c r="AN21" s="1">
        <v>0.44502000000000003</v>
      </c>
      <c r="AP21" s="1">
        <v>0.28578999999999999</v>
      </c>
      <c r="AQ21" s="1">
        <v>6.4170000000000005E-2</v>
      </c>
      <c r="AR21" s="1">
        <v>0.16699999999999998</v>
      </c>
      <c r="AS21" s="1">
        <v>0.41799999999999998</v>
      </c>
      <c r="AU21" s="1">
        <v>0.29930000000000001</v>
      </c>
      <c r="AV21" s="1">
        <v>8.1039999999999987E-2</v>
      </c>
      <c r="AW21" s="1">
        <v>0.14800000000000002</v>
      </c>
      <c r="AX21" s="1">
        <v>0.46200000000000002</v>
      </c>
      <c r="AZ21" s="1">
        <v>0.25755</v>
      </c>
      <c r="BA21" s="1">
        <v>0.10583999999999999</v>
      </c>
      <c r="BB21" s="1">
        <v>8.199999999999999E-2</v>
      </c>
      <c r="BC21" s="1">
        <v>0.48599999999999999</v>
      </c>
      <c r="BE21" s="1">
        <v>4.6368692895393609E-2</v>
      </c>
      <c r="BF21" s="1">
        <v>6.3754465246734704E-3</v>
      </c>
      <c r="BG21" s="1">
        <v>3.3872817707033612E-2</v>
      </c>
      <c r="BH21" s="1">
        <v>5.8864568083753607E-2</v>
      </c>
      <c r="BJ21" s="1">
        <v>6.4210070701996901E-3</v>
      </c>
      <c r="BK21" s="1">
        <v>2.8337031185355736E-3</v>
      </c>
      <c r="BL21" s="1">
        <v>8.6694895786996583E-4</v>
      </c>
      <c r="BM21" s="1">
        <v>1.1975065182529415E-2</v>
      </c>
      <c r="BO21" s="1">
        <v>0.26155597289836519</v>
      </c>
      <c r="BP21" s="1">
        <v>3.7748819203856407E-2</v>
      </c>
      <c r="BQ21" s="1">
        <v>0.18756828725880664</v>
      </c>
      <c r="BR21" s="1">
        <v>0.33554365853792373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17D9E-B91C-43E2-BF97-CB1685C1CECC}">
  <dimension ref="A1:BM66"/>
  <sheetViews>
    <sheetView tabSelected="1" workbookViewId="0">
      <selection activeCell="P28" sqref="P28"/>
    </sheetView>
  </sheetViews>
  <sheetFormatPr defaultRowHeight="15" x14ac:dyDescent="0.25"/>
  <sheetData>
    <row r="1" spans="1:65" x14ac:dyDescent="0.25">
      <c r="A1" s="5" t="s">
        <v>100</v>
      </c>
      <c r="G1" t="s">
        <v>109</v>
      </c>
      <c r="I1" t="s">
        <v>110</v>
      </c>
      <c r="M1" t="s">
        <v>113</v>
      </c>
      <c r="O1" t="s">
        <v>110</v>
      </c>
      <c r="S1" t="s">
        <v>114</v>
      </c>
      <c r="U1" t="s">
        <v>110</v>
      </c>
      <c r="Y1" t="s">
        <v>115</v>
      </c>
      <c r="AA1" t="s">
        <v>110</v>
      </c>
      <c r="AE1" t="s">
        <v>116</v>
      </c>
      <c r="AG1" t="s">
        <v>117</v>
      </c>
      <c r="AK1" t="s">
        <v>118</v>
      </c>
      <c r="AM1" t="s">
        <v>110</v>
      </c>
      <c r="AQ1" t="s">
        <v>119</v>
      </c>
      <c r="AS1" t="s">
        <v>110</v>
      </c>
      <c r="AW1" t="s">
        <v>120</v>
      </c>
      <c r="AY1" t="s">
        <v>121</v>
      </c>
      <c r="BC1" t="s">
        <v>122</v>
      </c>
      <c r="BE1" t="s">
        <v>110</v>
      </c>
      <c r="BI1" t="s">
        <v>123</v>
      </c>
      <c r="BK1" t="s">
        <v>124</v>
      </c>
    </row>
    <row r="2" spans="1:65" x14ac:dyDescent="0.25">
      <c r="A2" t="s">
        <v>64</v>
      </c>
      <c r="B2" s="6" t="s">
        <v>73</v>
      </c>
      <c r="C2" s="6" t="s">
        <v>34</v>
      </c>
      <c r="D2" s="14" t="s">
        <v>35</v>
      </c>
      <c r="E2" s="14"/>
      <c r="G2" t="s">
        <v>64</v>
      </c>
      <c r="H2" t="s">
        <v>65</v>
      </c>
      <c r="I2" t="s">
        <v>34</v>
      </c>
      <c r="J2" s="14" t="s">
        <v>111</v>
      </c>
      <c r="K2" s="14"/>
      <c r="M2" t="s">
        <v>64</v>
      </c>
      <c r="N2" t="s">
        <v>65</v>
      </c>
      <c r="O2" t="s">
        <v>34</v>
      </c>
      <c r="P2" s="14" t="s">
        <v>111</v>
      </c>
      <c r="Q2" s="14"/>
      <c r="S2" t="s">
        <v>64</v>
      </c>
      <c r="T2" t="s">
        <v>65</v>
      </c>
      <c r="U2" t="s">
        <v>34</v>
      </c>
      <c r="V2" s="14" t="s">
        <v>111</v>
      </c>
      <c r="W2" s="14"/>
      <c r="Y2" t="s">
        <v>64</v>
      </c>
      <c r="Z2" t="s">
        <v>65</v>
      </c>
      <c r="AA2" t="s">
        <v>34</v>
      </c>
      <c r="AB2" s="14" t="s">
        <v>111</v>
      </c>
      <c r="AC2" s="14"/>
      <c r="AE2" t="s">
        <v>64</v>
      </c>
      <c r="AF2" t="s">
        <v>65</v>
      </c>
      <c r="AG2" t="s">
        <v>34</v>
      </c>
      <c r="AH2" s="14" t="s">
        <v>111</v>
      </c>
      <c r="AI2" s="14"/>
      <c r="AK2" t="s">
        <v>64</v>
      </c>
      <c r="AL2" t="s">
        <v>65</v>
      </c>
      <c r="AM2" t="s">
        <v>34</v>
      </c>
      <c r="AN2" s="14" t="s">
        <v>111</v>
      </c>
      <c r="AO2" s="14"/>
      <c r="AQ2" t="s">
        <v>64</v>
      </c>
      <c r="AR2" t="s">
        <v>65</v>
      </c>
      <c r="AS2" t="s">
        <v>34</v>
      </c>
      <c r="AT2" s="14" t="s">
        <v>111</v>
      </c>
      <c r="AU2" s="14"/>
      <c r="AW2" t="s">
        <v>64</v>
      </c>
      <c r="AX2" t="s">
        <v>65</v>
      </c>
      <c r="AY2" t="s">
        <v>34</v>
      </c>
      <c r="AZ2" s="14" t="s">
        <v>111</v>
      </c>
      <c r="BA2" s="14"/>
      <c r="BC2" t="s">
        <v>64</v>
      </c>
      <c r="BD2" t="s">
        <v>65</v>
      </c>
      <c r="BE2" t="s">
        <v>34</v>
      </c>
      <c r="BF2" s="14" t="s">
        <v>111</v>
      </c>
      <c r="BG2" s="14"/>
      <c r="BI2" t="s">
        <v>64</v>
      </c>
      <c r="BJ2" t="s">
        <v>65</v>
      </c>
      <c r="BK2" t="s">
        <v>34</v>
      </c>
      <c r="BL2" s="14" t="s">
        <v>111</v>
      </c>
      <c r="BM2" s="14"/>
    </row>
    <row r="3" spans="1:65" x14ac:dyDescent="0.25">
      <c r="A3" t="s">
        <v>9</v>
      </c>
      <c r="B3" s="8">
        <v>83.750420148972736</v>
      </c>
      <c r="C3" s="8">
        <v>0.53895500442663835</v>
      </c>
      <c r="D3" s="8">
        <v>82.694068340296525</v>
      </c>
      <c r="E3" s="8">
        <v>84.806771957648948</v>
      </c>
      <c r="G3" t="s">
        <v>9</v>
      </c>
      <c r="H3" s="10">
        <v>99.597999999999999</v>
      </c>
      <c r="I3" s="10">
        <v>0.55800000000000005</v>
      </c>
      <c r="J3" s="10">
        <v>98</v>
      </c>
      <c r="K3" s="10">
        <v>100</v>
      </c>
      <c r="M3" t="s">
        <v>9</v>
      </c>
      <c r="N3" s="10">
        <v>99.495000000000005</v>
      </c>
      <c r="O3" s="10">
        <v>0.63300000000000001</v>
      </c>
      <c r="P3" s="10">
        <v>97.7</v>
      </c>
      <c r="Q3" s="10">
        <v>100</v>
      </c>
      <c r="S3" t="s">
        <v>9</v>
      </c>
      <c r="T3" s="10">
        <v>98.281000000000006</v>
      </c>
      <c r="U3" s="10">
        <v>1.27</v>
      </c>
      <c r="V3" s="10">
        <v>95.3</v>
      </c>
      <c r="W3" s="10">
        <v>99.9</v>
      </c>
      <c r="Y3" t="s">
        <v>9</v>
      </c>
      <c r="Z3" s="10">
        <v>99.504999999999995</v>
      </c>
      <c r="AA3" s="10">
        <v>0.66300000000000003</v>
      </c>
      <c r="AB3" s="10">
        <v>97.6</v>
      </c>
      <c r="AC3" s="10">
        <v>100</v>
      </c>
      <c r="AE3" t="s">
        <v>9</v>
      </c>
      <c r="AF3" s="10">
        <v>92.18</v>
      </c>
      <c r="AG3" s="10">
        <v>3.8490000000000002</v>
      </c>
      <c r="AH3" s="10">
        <v>83.697999999999993</v>
      </c>
      <c r="AI3" s="10">
        <v>98.4</v>
      </c>
      <c r="AK3" t="s">
        <v>9</v>
      </c>
      <c r="AL3" s="10">
        <v>59.503999999999998</v>
      </c>
      <c r="AM3" s="10">
        <v>4.33</v>
      </c>
      <c r="AN3" s="10">
        <v>50.7</v>
      </c>
      <c r="AO3" s="10">
        <v>67.900000000000006</v>
      </c>
      <c r="AQ3" t="s">
        <v>9</v>
      </c>
      <c r="AR3" s="10">
        <v>30.498999999999999</v>
      </c>
      <c r="AS3" s="10">
        <v>4.3789999999999996</v>
      </c>
      <c r="AT3" s="10">
        <v>22.2</v>
      </c>
      <c r="AU3" s="10">
        <v>39.200000000000003</v>
      </c>
      <c r="AW3" t="s">
        <v>9</v>
      </c>
      <c r="AX3" s="10">
        <v>7.6989999999999998</v>
      </c>
      <c r="AY3" s="10">
        <v>2.46</v>
      </c>
      <c r="AZ3" s="10">
        <v>3.7</v>
      </c>
      <c r="BA3" s="10">
        <v>13.2</v>
      </c>
      <c r="BC3" t="s">
        <v>9</v>
      </c>
      <c r="BD3" s="10">
        <v>7.3179999999999996</v>
      </c>
      <c r="BE3" s="10">
        <v>3.2349999999999999</v>
      </c>
      <c r="BF3" s="10">
        <v>1.9</v>
      </c>
      <c r="BG3" s="10">
        <v>14.3</v>
      </c>
      <c r="BI3" t="s">
        <v>9</v>
      </c>
      <c r="BJ3" s="10">
        <v>7.6609999999999996</v>
      </c>
      <c r="BK3" s="10">
        <v>2.1840000000000002</v>
      </c>
      <c r="BL3" s="10">
        <v>3.9</v>
      </c>
      <c r="BM3" s="10">
        <v>12.4</v>
      </c>
    </row>
    <row r="4" spans="1:65" x14ac:dyDescent="0.25">
      <c r="A4" s="6" t="s">
        <v>10</v>
      </c>
      <c r="B4" s="8">
        <v>64.688775916151272</v>
      </c>
      <c r="C4" s="8">
        <v>2.5821096921228235</v>
      </c>
      <c r="D4" s="8">
        <v>59.62784091959054</v>
      </c>
      <c r="E4" s="8">
        <v>69.749710912712004</v>
      </c>
      <c r="G4" s="6" t="s">
        <v>10</v>
      </c>
      <c r="H4" s="10">
        <v>98.995999999999995</v>
      </c>
      <c r="I4" s="10">
        <v>1.077</v>
      </c>
      <c r="J4" s="10">
        <v>96</v>
      </c>
      <c r="K4" s="10">
        <v>100</v>
      </c>
      <c r="M4" s="6" t="s">
        <v>10</v>
      </c>
      <c r="N4" s="10">
        <v>97.284000000000006</v>
      </c>
      <c r="O4" s="10">
        <v>2.0720000000000001</v>
      </c>
      <c r="P4" s="10">
        <v>92.7</v>
      </c>
      <c r="Q4" s="10">
        <v>99.9</v>
      </c>
      <c r="S4" s="6" t="s">
        <v>10</v>
      </c>
      <c r="T4" s="10">
        <v>96.463999999999999</v>
      </c>
      <c r="U4" s="10">
        <v>1.853</v>
      </c>
      <c r="V4" s="10">
        <v>92.3</v>
      </c>
      <c r="W4" s="10">
        <v>99.4</v>
      </c>
      <c r="Y4" s="6" t="s">
        <v>10</v>
      </c>
      <c r="Z4" s="10">
        <v>91.438999999999993</v>
      </c>
      <c r="AA4" s="10">
        <v>2.17</v>
      </c>
      <c r="AB4" s="10">
        <v>86.9</v>
      </c>
      <c r="AC4" s="10">
        <v>95.302000000000007</v>
      </c>
      <c r="AE4" s="6" t="s">
        <v>10</v>
      </c>
      <c r="AF4" s="10">
        <v>69.42</v>
      </c>
      <c r="AG4" s="10">
        <v>5.0179999999999998</v>
      </c>
      <c r="AH4" s="10">
        <v>59.3</v>
      </c>
      <c r="AI4" s="10">
        <v>79</v>
      </c>
      <c r="AK4" s="6" t="s">
        <v>10</v>
      </c>
      <c r="AL4" s="10">
        <v>35.448</v>
      </c>
      <c r="AM4" s="10">
        <v>3.5790000000000002</v>
      </c>
      <c r="AN4" s="10">
        <v>28.5</v>
      </c>
      <c r="AO4" s="10">
        <v>42.6</v>
      </c>
      <c r="AQ4" s="6" t="s">
        <v>10</v>
      </c>
      <c r="AR4" s="10">
        <v>19.986999999999998</v>
      </c>
      <c r="AS4" s="10">
        <v>3.492</v>
      </c>
      <c r="AT4" s="10">
        <v>13.4</v>
      </c>
      <c r="AU4" s="10">
        <v>27.102</v>
      </c>
      <c r="AW4" s="6" t="s">
        <v>10</v>
      </c>
      <c r="AX4" s="10">
        <v>7.1180000000000003</v>
      </c>
      <c r="AY4" s="10">
        <v>2.1869999999999998</v>
      </c>
      <c r="AZ4" s="10">
        <v>3.4</v>
      </c>
      <c r="BA4" s="10">
        <v>11.9</v>
      </c>
      <c r="BC4" s="6" t="s">
        <v>10</v>
      </c>
      <c r="BD4" s="10">
        <v>2.004</v>
      </c>
      <c r="BE4" s="10">
        <v>1.4279999999999999</v>
      </c>
      <c r="BF4" s="10">
        <v>0</v>
      </c>
      <c r="BG4" s="10">
        <v>5.3</v>
      </c>
      <c r="BI4" s="6" t="s">
        <v>10</v>
      </c>
      <c r="BJ4" s="10">
        <v>6.992</v>
      </c>
      <c r="BK4" s="10">
        <v>1.972</v>
      </c>
      <c r="BL4" s="10">
        <v>3.6</v>
      </c>
      <c r="BM4" s="10">
        <v>11.2</v>
      </c>
    </row>
    <row r="5" spans="1:65" x14ac:dyDescent="0.25">
      <c r="A5" s="6" t="s">
        <v>101</v>
      </c>
      <c r="B5" s="8">
        <v>19.017744362561121</v>
      </c>
      <c r="C5" s="8">
        <v>2.6218943530563665</v>
      </c>
      <c r="D5" s="8">
        <v>13.878831430570642</v>
      </c>
      <c r="E5" s="8">
        <v>24.1566572945516</v>
      </c>
      <c r="G5" s="6" t="s">
        <v>101</v>
      </c>
      <c r="H5" s="10">
        <v>0.52</v>
      </c>
      <c r="I5" s="10">
        <v>0.92</v>
      </c>
      <c r="J5" s="10">
        <v>0</v>
      </c>
      <c r="K5" s="10">
        <v>3.202</v>
      </c>
      <c r="M5" s="6" t="s">
        <v>101</v>
      </c>
      <c r="N5" s="10">
        <v>2.1339999999999999</v>
      </c>
      <c r="O5" s="10">
        <v>1.996</v>
      </c>
      <c r="P5" s="10">
        <v>0</v>
      </c>
      <c r="Q5" s="10">
        <v>6.8</v>
      </c>
      <c r="S5" s="6" t="s">
        <v>101</v>
      </c>
      <c r="T5" s="10">
        <v>1.7509999999999999</v>
      </c>
      <c r="U5" s="10">
        <v>1.726</v>
      </c>
      <c r="V5" s="10">
        <v>0</v>
      </c>
      <c r="W5" s="10">
        <v>5.8</v>
      </c>
      <c r="Y5" s="6" t="s">
        <v>101</v>
      </c>
      <c r="Z5" s="10">
        <v>7.9950000000000001</v>
      </c>
      <c r="AA5" s="10">
        <v>2.1440000000000001</v>
      </c>
      <c r="AB5" s="10">
        <v>4.2</v>
      </c>
      <c r="AC5" s="10">
        <v>12.5</v>
      </c>
      <c r="AE5" s="6" t="s">
        <v>101</v>
      </c>
      <c r="AF5" s="10">
        <v>22.74</v>
      </c>
      <c r="AG5" s="10">
        <v>5.8289999999999997</v>
      </c>
      <c r="AH5" s="10">
        <v>11.3</v>
      </c>
      <c r="AI5" s="10">
        <v>34.200000000000003</v>
      </c>
      <c r="AK5" s="6" t="s">
        <v>101</v>
      </c>
      <c r="AL5" s="10">
        <v>24.061</v>
      </c>
      <c r="AM5" s="10">
        <v>4.75</v>
      </c>
      <c r="AN5" s="10">
        <v>14.997999999999999</v>
      </c>
      <c r="AO5" s="10">
        <v>33.4</v>
      </c>
      <c r="AQ5" s="6" t="s">
        <v>101</v>
      </c>
      <c r="AR5" s="10">
        <v>10.507</v>
      </c>
      <c r="AS5" s="10">
        <v>4.67</v>
      </c>
      <c r="AT5" s="10">
        <v>1.7</v>
      </c>
      <c r="AU5" s="10">
        <v>20.100000000000001</v>
      </c>
      <c r="AW5" s="6" t="s">
        <v>101</v>
      </c>
      <c r="AX5" s="10">
        <v>0.58899999999999997</v>
      </c>
      <c r="AY5" s="10">
        <v>1.2829999999999999</v>
      </c>
      <c r="AZ5" s="10">
        <v>0</v>
      </c>
      <c r="BA5" s="10">
        <v>4.5999999999999996</v>
      </c>
      <c r="BC5" s="6" t="s">
        <v>101</v>
      </c>
      <c r="BD5" s="10">
        <v>5.3070000000000004</v>
      </c>
      <c r="BE5" s="10">
        <v>3.2749999999999999</v>
      </c>
      <c r="BF5" s="10">
        <v>0.1</v>
      </c>
      <c r="BG5" s="10">
        <v>12.5</v>
      </c>
      <c r="BI5" s="6" t="s">
        <v>101</v>
      </c>
      <c r="BJ5" s="10">
        <v>0.67400000000000004</v>
      </c>
      <c r="BK5" s="10">
        <v>1.2290000000000001</v>
      </c>
      <c r="BL5" s="10">
        <v>0</v>
      </c>
      <c r="BM5" s="10">
        <v>4.5</v>
      </c>
    </row>
    <row r="6" spans="1:65" x14ac:dyDescent="0.25">
      <c r="A6" s="9" t="s">
        <v>102</v>
      </c>
      <c r="B6" s="8">
        <v>16.553945342083363</v>
      </c>
      <c r="C6" s="8">
        <v>2.7025040046385729</v>
      </c>
      <c r="D6" s="8">
        <v>11.25703749299176</v>
      </c>
      <c r="E6" s="8">
        <v>21.850853191174966</v>
      </c>
      <c r="G6" s="9" t="s">
        <v>112</v>
      </c>
      <c r="H6" s="10">
        <v>0.23899999999999999</v>
      </c>
      <c r="I6" s="10">
        <v>0.59699999999999998</v>
      </c>
      <c r="J6" s="10">
        <v>0</v>
      </c>
      <c r="K6" s="10">
        <v>2.1</v>
      </c>
      <c r="M6" s="9" t="s">
        <v>112</v>
      </c>
      <c r="N6" s="10">
        <v>0.39500000000000002</v>
      </c>
      <c r="O6" s="10">
        <v>0.95899999999999996</v>
      </c>
      <c r="P6" s="10">
        <v>0</v>
      </c>
      <c r="Q6" s="10">
        <v>3.6</v>
      </c>
      <c r="S6" s="9" t="s">
        <v>112</v>
      </c>
      <c r="T6" s="10">
        <v>1.6319999999999999</v>
      </c>
      <c r="U6" s="10">
        <v>1.7090000000000001</v>
      </c>
      <c r="V6" s="10">
        <v>0</v>
      </c>
      <c r="W6" s="10">
        <v>5.7</v>
      </c>
      <c r="Y6" s="9" t="s">
        <v>112</v>
      </c>
      <c r="Z6" s="10">
        <v>0.128</v>
      </c>
      <c r="AA6" s="10">
        <v>0.36699999999999999</v>
      </c>
      <c r="AB6" s="10">
        <v>0</v>
      </c>
      <c r="AC6" s="10">
        <v>1.1000000000000001</v>
      </c>
      <c r="AE6" s="9" t="s">
        <v>112</v>
      </c>
      <c r="AF6" s="10">
        <v>8.5399999999999991</v>
      </c>
      <c r="AG6" s="10">
        <v>6.1829999999999998</v>
      </c>
      <c r="AH6" s="10">
        <v>0</v>
      </c>
      <c r="AI6" s="10">
        <v>20.399999999999999</v>
      </c>
      <c r="AK6" s="9" t="s">
        <v>112</v>
      </c>
      <c r="AL6" s="10">
        <v>12.563000000000001</v>
      </c>
      <c r="AM6" s="10">
        <v>5.3019999999999996</v>
      </c>
      <c r="AN6" s="10">
        <v>1.3</v>
      </c>
      <c r="AO6" s="10">
        <v>23.1</v>
      </c>
      <c r="AQ6" s="9" t="s">
        <v>112</v>
      </c>
      <c r="AR6" s="10">
        <v>7.5430000000000001</v>
      </c>
      <c r="AS6" s="10">
        <v>4.6379999999999999</v>
      </c>
      <c r="AT6" s="10">
        <v>0</v>
      </c>
      <c r="AU6" s="10">
        <v>17.100000000000001</v>
      </c>
      <c r="AW6" s="9" t="s">
        <v>112</v>
      </c>
      <c r="AX6" s="10">
        <v>0.46100000000000002</v>
      </c>
      <c r="AY6" s="10">
        <v>1.218</v>
      </c>
      <c r="AZ6" s="10">
        <v>0</v>
      </c>
      <c r="BA6" s="10">
        <v>4.4000000000000004</v>
      </c>
      <c r="BC6" s="9" t="s">
        <v>112</v>
      </c>
      <c r="BD6" s="10">
        <v>4.63</v>
      </c>
      <c r="BE6" s="10">
        <v>3.3260000000000001</v>
      </c>
      <c r="BF6" s="10">
        <v>0</v>
      </c>
      <c r="BG6" s="10">
        <v>11.7</v>
      </c>
      <c r="BI6" s="9" t="s">
        <v>112</v>
      </c>
      <c r="BJ6" s="10">
        <v>0.54200000000000004</v>
      </c>
      <c r="BK6" s="10">
        <v>1.1579999999999999</v>
      </c>
      <c r="BL6" s="10">
        <v>0</v>
      </c>
      <c r="BM6" s="10">
        <v>4.3</v>
      </c>
    </row>
    <row r="7" spans="1:65" x14ac:dyDescent="0.25">
      <c r="A7" s="9" t="s">
        <v>103</v>
      </c>
      <c r="B7" s="8">
        <v>2.4583872092549206</v>
      </c>
      <c r="C7" s="8">
        <v>0.64960722836935558</v>
      </c>
      <c r="D7" s="8">
        <v>1.1851570416509838</v>
      </c>
      <c r="E7" s="8">
        <v>3.7316173768588574</v>
      </c>
      <c r="G7" s="9" t="s">
        <v>103</v>
      </c>
      <c r="H7" s="10">
        <v>0.29299999999999998</v>
      </c>
      <c r="I7" s="10">
        <v>0.70299999999999996</v>
      </c>
      <c r="J7" s="10">
        <v>0</v>
      </c>
      <c r="K7" s="10">
        <v>2.5</v>
      </c>
      <c r="M7" s="9" t="s">
        <v>103</v>
      </c>
      <c r="N7" s="10">
        <v>1.748</v>
      </c>
      <c r="O7" s="10">
        <v>1.91</v>
      </c>
      <c r="P7" s="10">
        <v>0</v>
      </c>
      <c r="Q7" s="10">
        <v>6.3019999999999996</v>
      </c>
      <c r="S7" s="9" t="s">
        <v>103</v>
      </c>
      <c r="T7" s="10">
        <v>0.129</v>
      </c>
      <c r="U7" s="10">
        <v>0.36899999999999999</v>
      </c>
      <c r="V7" s="10">
        <v>0</v>
      </c>
      <c r="W7" s="10">
        <v>1.3</v>
      </c>
      <c r="Y7" s="9" t="s">
        <v>103</v>
      </c>
      <c r="Z7" s="10">
        <v>7.8719999999999999</v>
      </c>
      <c r="AA7" s="10">
        <v>2.1360000000000001</v>
      </c>
      <c r="AB7" s="10">
        <v>4.0999999999999996</v>
      </c>
      <c r="AC7" s="10">
        <v>12.4</v>
      </c>
      <c r="AE7" s="9" t="s">
        <v>103</v>
      </c>
      <c r="AF7" s="10">
        <v>14.189</v>
      </c>
      <c r="AG7" s="10">
        <v>5.1379999999999999</v>
      </c>
      <c r="AH7" s="10">
        <v>5</v>
      </c>
      <c r="AI7" s="10">
        <v>24.9</v>
      </c>
      <c r="AK7" s="9" t="s">
        <v>103</v>
      </c>
      <c r="AL7" s="10">
        <v>11.497</v>
      </c>
      <c r="AM7" s="10">
        <v>4.4930000000000003</v>
      </c>
      <c r="AN7" s="10">
        <v>3.1</v>
      </c>
      <c r="AO7" s="10">
        <v>20.9</v>
      </c>
      <c r="AQ7" s="9" t="s">
        <v>103</v>
      </c>
      <c r="AR7" s="10">
        <v>2.968</v>
      </c>
      <c r="AS7" s="10">
        <v>3.6179999999999999</v>
      </c>
      <c r="AT7" s="10">
        <v>0</v>
      </c>
      <c r="AU7" s="10">
        <v>11.6</v>
      </c>
      <c r="AW7" s="9" t="s">
        <v>103</v>
      </c>
      <c r="AX7" s="10">
        <v>0.14000000000000001</v>
      </c>
      <c r="AY7" s="10">
        <v>0.42799999999999999</v>
      </c>
      <c r="AZ7" s="10">
        <v>0</v>
      </c>
      <c r="BA7" s="10">
        <v>1.4</v>
      </c>
      <c r="BC7" s="9" t="s">
        <v>103</v>
      </c>
      <c r="BD7" s="10">
        <v>0.68500000000000005</v>
      </c>
      <c r="BE7" s="10">
        <v>1.3160000000000001</v>
      </c>
      <c r="BF7" s="10">
        <v>0</v>
      </c>
      <c r="BG7" s="10">
        <v>4.5999999999999996</v>
      </c>
      <c r="BI7" s="9" t="s">
        <v>103</v>
      </c>
      <c r="BJ7" s="10">
        <v>0.14499999999999999</v>
      </c>
      <c r="BK7" s="10">
        <v>0.442</v>
      </c>
      <c r="BL7" s="10">
        <v>0</v>
      </c>
      <c r="BM7" s="10">
        <v>1.4</v>
      </c>
    </row>
    <row r="8" spans="1:65" x14ac:dyDescent="0.25">
      <c r="A8" t="s">
        <v>11</v>
      </c>
      <c r="B8" s="8">
        <v>16.249579851027246</v>
      </c>
      <c r="C8" s="8">
        <v>0.53874691538856878</v>
      </c>
      <c r="D8" s="8">
        <v>15.193635896865651</v>
      </c>
      <c r="E8" s="8">
        <v>17.305523805188841</v>
      </c>
      <c r="G8" t="s">
        <v>11</v>
      </c>
      <c r="H8" s="10">
        <v>0.40200000000000002</v>
      </c>
      <c r="I8" s="10">
        <v>0.55800000000000005</v>
      </c>
      <c r="J8" s="10">
        <v>0</v>
      </c>
      <c r="K8" s="10">
        <v>2</v>
      </c>
      <c r="M8" t="s">
        <v>11</v>
      </c>
      <c r="N8" s="10">
        <v>0.505</v>
      </c>
      <c r="O8" s="10">
        <v>0.63200000000000001</v>
      </c>
      <c r="P8" s="10">
        <v>0</v>
      </c>
      <c r="Q8" s="10">
        <v>2.2999999999999998</v>
      </c>
      <c r="S8" t="s">
        <v>11</v>
      </c>
      <c r="T8" s="10">
        <v>1.7190000000000001</v>
      </c>
      <c r="U8" s="10">
        <v>1.2689999999999999</v>
      </c>
      <c r="V8" s="10">
        <v>0</v>
      </c>
      <c r="W8" s="10">
        <v>4.7</v>
      </c>
      <c r="Y8" t="s">
        <v>11</v>
      </c>
      <c r="Z8" s="10">
        <v>0.495</v>
      </c>
      <c r="AA8" s="10">
        <v>0.66300000000000003</v>
      </c>
      <c r="AB8" s="10">
        <v>0</v>
      </c>
      <c r="AC8" s="10">
        <v>2.4</v>
      </c>
      <c r="AE8" t="s">
        <v>11</v>
      </c>
      <c r="AF8" s="10">
        <v>7.82</v>
      </c>
      <c r="AG8" s="10">
        <v>3.8490000000000002</v>
      </c>
      <c r="AH8" s="10">
        <v>1.5</v>
      </c>
      <c r="AI8" s="10">
        <v>16.3</v>
      </c>
      <c r="AK8" t="s">
        <v>11</v>
      </c>
      <c r="AL8" s="10">
        <v>40.496000000000002</v>
      </c>
      <c r="AM8" s="10">
        <v>4.3310000000000004</v>
      </c>
      <c r="AN8" s="10">
        <v>32.1</v>
      </c>
      <c r="AO8" s="10">
        <v>49.3</v>
      </c>
      <c r="AQ8" t="s">
        <v>11</v>
      </c>
      <c r="AR8" s="10">
        <v>69.501000000000005</v>
      </c>
      <c r="AS8" s="10">
        <v>4.38</v>
      </c>
      <c r="AT8" s="10">
        <v>60.798000000000002</v>
      </c>
      <c r="AU8" s="10">
        <v>77.8</v>
      </c>
      <c r="AW8" t="s">
        <v>11</v>
      </c>
      <c r="AX8" s="10">
        <v>92.301000000000002</v>
      </c>
      <c r="AY8" s="10">
        <v>2.4620000000000002</v>
      </c>
      <c r="AZ8" s="10">
        <v>86.8</v>
      </c>
      <c r="BA8" s="10">
        <v>96.3</v>
      </c>
      <c r="BC8" t="s">
        <v>11</v>
      </c>
      <c r="BD8" s="10">
        <v>92.682000000000002</v>
      </c>
      <c r="BE8" s="10">
        <v>3.2349999999999999</v>
      </c>
      <c r="BF8" s="10">
        <v>85.7</v>
      </c>
      <c r="BG8" s="10">
        <v>98.1</v>
      </c>
      <c r="BI8" t="s">
        <v>11</v>
      </c>
      <c r="BJ8" s="10">
        <v>92.338999999999999</v>
      </c>
      <c r="BK8" s="10">
        <v>2.1829999999999998</v>
      </c>
      <c r="BL8" s="10">
        <v>87.6</v>
      </c>
      <c r="BM8" s="10">
        <v>96.001999999999995</v>
      </c>
    </row>
    <row r="9" spans="1:65" x14ac:dyDescent="0.25">
      <c r="A9" s="6" t="s">
        <v>103</v>
      </c>
      <c r="B9" s="8">
        <v>5.0631319884937014</v>
      </c>
      <c r="C9" s="8">
        <v>0.41878918814568555</v>
      </c>
      <c r="D9" s="8">
        <v>4.2423051797281577</v>
      </c>
      <c r="E9" s="8">
        <v>5.8839587972592451</v>
      </c>
      <c r="G9" s="6" t="s">
        <v>103</v>
      </c>
      <c r="H9" s="10">
        <v>0.10299999999999999</v>
      </c>
      <c r="I9" s="10">
        <v>0.28399999999999997</v>
      </c>
      <c r="J9" s="10">
        <v>0</v>
      </c>
      <c r="K9" s="10">
        <v>0.9</v>
      </c>
      <c r="M9" s="6" t="s">
        <v>103</v>
      </c>
      <c r="N9" s="10">
        <v>0.17299999999999999</v>
      </c>
      <c r="O9" s="10">
        <v>0.4</v>
      </c>
      <c r="P9" s="10">
        <v>0</v>
      </c>
      <c r="Q9" s="10">
        <v>1.4</v>
      </c>
      <c r="S9" s="6" t="s">
        <v>103</v>
      </c>
      <c r="T9" s="10">
        <v>0.105</v>
      </c>
      <c r="U9" s="10">
        <v>0.26900000000000002</v>
      </c>
      <c r="V9" s="10">
        <v>0</v>
      </c>
      <c r="W9" s="10">
        <v>0.9</v>
      </c>
      <c r="Y9" s="6" t="s">
        <v>103</v>
      </c>
      <c r="Z9" s="10">
        <v>0.113</v>
      </c>
      <c r="AA9" s="10">
        <v>0.27600000000000002</v>
      </c>
      <c r="AB9" s="10">
        <v>0</v>
      </c>
      <c r="AC9" s="10">
        <v>0.9</v>
      </c>
      <c r="AE9" s="6" t="s">
        <v>103</v>
      </c>
      <c r="AF9" s="10">
        <v>1.339</v>
      </c>
      <c r="AG9" s="10">
        <v>1.946</v>
      </c>
      <c r="AH9" s="10">
        <v>0</v>
      </c>
      <c r="AI9" s="10">
        <v>6.6</v>
      </c>
      <c r="AK9" s="6" t="s">
        <v>103</v>
      </c>
      <c r="AL9" s="10">
        <v>3.5379999999999998</v>
      </c>
      <c r="AM9" s="10">
        <v>2.7919999999999998</v>
      </c>
      <c r="AN9" s="10">
        <v>0</v>
      </c>
      <c r="AO9" s="10">
        <v>9.6999999999999993</v>
      </c>
      <c r="AQ9" s="6" t="s">
        <v>103</v>
      </c>
      <c r="AR9" s="10">
        <v>13.657999999999999</v>
      </c>
      <c r="AS9" s="10">
        <v>3.9550000000000001</v>
      </c>
      <c r="AT9" s="10">
        <v>6.2</v>
      </c>
      <c r="AU9" s="10">
        <v>21.5</v>
      </c>
      <c r="AW9" s="6" t="s">
        <v>103</v>
      </c>
      <c r="AX9" s="10">
        <v>26.233000000000001</v>
      </c>
      <c r="AY9" s="10">
        <v>4.4379999999999997</v>
      </c>
      <c r="AZ9" s="10">
        <v>17.899999999999999</v>
      </c>
      <c r="BA9" s="10">
        <v>35.4</v>
      </c>
      <c r="BC9" s="6" t="s">
        <v>103</v>
      </c>
      <c r="BD9" s="10">
        <v>36.113999999999997</v>
      </c>
      <c r="BE9" s="10">
        <v>4.5090000000000003</v>
      </c>
      <c r="BF9" s="10">
        <v>27.4</v>
      </c>
      <c r="BG9" s="10">
        <v>45</v>
      </c>
      <c r="BI9" s="6" t="s">
        <v>103</v>
      </c>
      <c r="BJ9" s="10">
        <v>47.460999999999999</v>
      </c>
      <c r="BK9" s="10">
        <v>4.0650000000000004</v>
      </c>
      <c r="BL9" s="10">
        <v>39.5</v>
      </c>
      <c r="BM9" s="10">
        <v>55.4</v>
      </c>
    </row>
    <row r="10" spans="1:65" x14ac:dyDescent="0.25">
      <c r="A10" s="6" t="s">
        <v>38</v>
      </c>
      <c r="B10" s="8">
        <v>4.595587970545985</v>
      </c>
      <c r="C10" s="8">
        <v>0.61394745605103918</v>
      </c>
      <c r="D10" s="8">
        <v>3.392250956685948</v>
      </c>
      <c r="E10" s="8">
        <v>5.798924984406022</v>
      </c>
      <c r="G10" s="6" t="s">
        <v>38</v>
      </c>
      <c r="H10" s="10">
        <v>0.17199999999999999</v>
      </c>
      <c r="I10" s="10">
        <v>0.38700000000000001</v>
      </c>
      <c r="J10" s="10">
        <v>0</v>
      </c>
      <c r="K10" s="10">
        <v>1.3</v>
      </c>
      <c r="M10" s="6" t="s">
        <v>38</v>
      </c>
      <c r="N10" s="10">
        <v>0.09</v>
      </c>
      <c r="O10" s="10">
        <v>0.20799999999999999</v>
      </c>
      <c r="P10" s="10">
        <v>0</v>
      </c>
      <c r="Q10" s="10">
        <v>0.6</v>
      </c>
      <c r="S10" s="6" t="s">
        <v>38</v>
      </c>
      <c r="T10" s="10">
        <v>1.4419999999999999</v>
      </c>
      <c r="U10" s="10">
        <v>1.21</v>
      </c>
      <c r="V10" s="10">
        <v>0</v>
      </c>
      <c r="W10" s="10">
        <v>4.3</v>
      </c>
      <c r="Y10" s="6" t="s">
        <v>38</v>
      </c>
      <c r="Z10" s="10">
        <v>0.20599999999999999</v>
      </c>
      <c r="AA10" s="10">
        <v>0.497</v>
      </c>
      <c r="AB10" s="10">
        <v>0</v>
      </c>
      <c r="AC10" s="10">
        <v>1.7</v>
      </c>
      <c r="AE10" s="6" t="s">
        <v>38</v>
      </c>
      <c r="AF10" s="10">
        <v>4.2530000000000001</v>
      </c>
      <c r="AG10" s="10">
        <v>3.887</v>
      </c>
      <c r="AH10" s="10">
        <v>0</v>
      </c>
      <c r="AI10" s="10">
        <v>13.4</v>
      </c>
      <c r="AK10" s="6" t="s">
        <v>38</v>
      </c>
      <c r="AL10" s="10">
        <v>21.506</v>
      </c>
      <c r="AM10" s="10">
        <v>4.9050000000000002</v>
      </c>
      <c r="AN10" s="10">
        <v>12.2</v>
      </c>
      <c r="AO10" s="10">
        <v>31.4</v>
      </c>
      <c r="AQ10" s="6" t="s">
        <v>38</v>
      </c>
      <c r="AR10" s="10">
        <v>15.972</v>
      </c>
      <c r="AS10" s="10">
        <v>6.27</v>
      </c>
      <c r="AT10" s="10">
        <v>5</v>
      </c>
      <c r="AU10" s="10">
        <v>29.3</v>
      </c>
      <c r="AW10" s="6" t="s">
        <v>38</v>
      </c>
      <c r="AX10" s="10">
        <v>26.963000000000001</v>
      </c>
      <c r="AY10" s="10">
        <v>6.2030000000000003</v>
      </c>
      <c r="AZ10" s="10">
        <v>15.2</v>
      </c>
      <c r="BA10" s="10">
        <v>39.5</v>
      </c>
      <c r="BC10" s="6" t="s">
        <v>38</v>
      </c>
      <c r="BD10" s="10">
        <v>19.791</v>
      </c>
      <c r="BE10" s="10">
        <v>4.968</v>
      </c>
      <c r="BF10" s="10">
        <v>10.6</v>
      </c>
      <c r="BG10" s="10">
        <v>30.1</v>
      </c>
      <c r="BI10" s="6" t="s">
        <v>38</v>
      </c>
      <c r="BJ10" s="10">
        <v>11.869</v>
      </c>
      <c r="BK10" s="10">
        <v>3.68</v>
      </c>
      <c r="BL10" s="10">
        <v>5.298</v>
      </c>
      <c r="BM10" s="10">
        <v>19.5</v>
      </c>
    </row>
    <row r="11" spans="1:65" x14ac:dyDescent="0.25">
      <c r="A11" s="6" t="s">
        <v>104</v>
      </c>
      <c r="B11" s="8">
        <v>3.9741010614188861</v>
      </c>
      <c r="C11" s="8">
        <v>0.48146315987974819</v>
      </c>
      <c r="D11" s="8">
        <v>3.0304332680545798</v>
      </c>
      <c r="E11" s="8">
        <v>4.9177688547831924</v>
      </c>
      <c r="G11" s="6" t="s">
        <v>104</v>
      </c>
      <c r="H11" s="10">
        <v>0.12</v>
      </c>
      <c r="I11" s="10">
        <v>0.24399999999999999</v>
      </c>
      <c r="J11" s="10">
        <v>0</v>
      </c>
      <c r="K11" s="10">
        <v>0.8</v>
      </c>
      <c r="M11" s="6" t="s">
        <v>104</v>
      </c>
      <c r="N11" s="10">
        <v>0.23499999999999999</v>
      </c>
      <c r="O11" s="10">
        <v>0.44600000000000001</v>
      </c>
      <c r="P11" s="10">
        <v>0</v>
      </c>
      <c r="Q11" s="10">
        <v>1.6</v>
      </c>
      <c r="S11" s="6" t="s">
        <v>104</v>
      </c>
      <c r="T11" s="10">
        <v>0.151</v>
      </c>
      <c r="U11" s="10">
        <v>0.308</v>
      </c>
      <c r="V11" s="10">
        <v>0</v>
      </c>
      <c r="W11" s="10">
        <v>1.1000000000000001</v>
      </c>
      <c r="Y11" s="6" t="s">
        <v>104</v>
      </c>
      <c r="Z11" s="10">
        <v>0.159</v>
      </c>
      <c r="AA11" s="10">
        <v>0.32300000000000001</v>
      </c>
      <c r="AB11" s="10">
        <v>0</v>
      </c>
      <c r="AC11" s="10">
        <v>1.2</v>
      </c>
      <c r="AE11" s="6" t="s">
        <v>104</v>
      </c>
      <c r="AF11" s="10">
        <v>1.9590000000000001</v>
      </c>
      <c r="AG11" s="10">
        <v>2.4900000000000002</v>
      </c>
      <c r="AH11" s="10">
        <v>0</v>
      </c>
      <c r="AI11" s="10">
        <v>8.4</v>
      </c>
      <c r="AK11" s="6" t="s">
        <v>104</v>
      </c>
      <c r="AL11" s="10">
        <v>9.69</v>
      </c>
      <c r="AM11" s="10">
        <v>3.9020000000000001</v>
      </c>
      <c r="AN11" s="10">
        <v>3.1</v>
      </c>
      <c r="AO11" s="10">
        <v>18.399999999999999</v>
      </c>
      <c r="AQ11" s="6" t="s">
        <v>104</v>
      </c>
      <c r="AR11" s="10">
        <v>23.882000000000001</v>
      </c>
      <c r="AS11" s="10">
        <v>5.7590000000000003</v>
      </c>
      <c r="AT11" s="10">
        <v>12.6</v>
      </c>
      <c r="AU11" s="10">
        <v>35</v>
      </c>
      <c r="AW11" s="6" t="s">
        <v>104</v>
      </c>
      <c r="AX11" s="10">
        <v>19.34</v>
      </c>
      <c r="AY11" s="10">
        <v>5.3520000000000003</v>
      </c>
      <c r="AZ11" s="10">
        <v>9.4979999999999993</v>
      </c>
      <c r="BA11" s="10">
        <v>30.102</v>
      </c>
      <c r="BC11" s="6" t="s">
        <v>104</v>
      </c>
      <c r="BD11" s="10">
        <v>22.974</v>
      </c>
      <c r="BE11" s="10">
        <v>4.62</v>
      </c>
      <c r="BF11" s="10">
        <v>14.2</v>
      </c>
      <c r="BG11" s="10">
        <v>32.299999999999997</v>
      </c>
      <c r="BI11" s="6" t="s">
        <v>104</v>
      </c>
      <c r="BJ11" s="10">
        <v>19.181999999999999</v>
      </c>
      <c r="BK11" s="10">
        <v>4.2779999999999996</v>
      </c>
      <c r="BL11" s="10">
        <v>11.2</v>
      </c>
      <c r="BM11" s="10">
        <v>28</v>
      </c>
    </row>
    <row r="12" spans="1:65" x14ac:dyDescent="0.25">
      <c r="A12" s="9" t="s">
        <v>14</v>
      </c>
      <c r="B12" s="8">
        <v>1.6160262375026679</v>
      </c>
      <c r="C12" s="8">
        <v>0.37492075539611552</v>
      </c>
      <c r="D12" s="8">
        <v>0.88118155692628153</v>
      </c>
      <c r="E12" s="8">
        <v>2.3508709180790541</v>
      </c>
      <c r="G12" s="9" t="s">
        <v>14</v>
      </c>
      <c r="H12" s="10">
        <v>3.3000000000000002E-2</v>
      </c>
      <c r="I12" s="10">
        <v>0.126</v>
      </c>
      <c r="J12" s="10">
        <v>0</v>
      </c>
      <c r="K12" s="10">
        <v>0.3</v>
      </c>
      <c r="M12" s="9" t="s">
        <v>14</v>
      </c>
      <c r="N12" s="10">
        <v>2.5000000000000001E-2</v>
      </c>
      <c r="O12" s="10">
        <v>9.2999999999999999E-2</v>
      </c>
      <c r="P12" s="10">
        <v>0</v>
      </c>
      <c r="Q12" s="10">
        <v>0.2</v>
      </c>
      <c r="S12" s="9" t="s">
        <v>14</v>
      </c>
      <c r="T12" s="10">
        <v>4.2999999999999997E-2</v>
      </c>
      <c r="U12" s="10">
        <v>0.17100000000000001</v>
      </c>
      <c r="V12" s="10">
        <v>0</v>
      </c>
      <c r="W12" s="10">
        <v>0.4</v>
      </c>
      <c r="Y12" s="9" t="s">
        <v>14</v>
      </c>
      <c r="Z12" s="10">
        <v>3.5000000000000003E-2</v>
      </c>
      <c r="AA12" s="10">
        <v>0.125</v>
      </c>
      <c r="AB12" s="10">
        <v>0</v>
      </c>
      <c r="AC12" s="10">
        <v>0.3</v>
      </c>
      <c r="AE12" s="9" t="s">
        <v>14</v>
      </c>
      <c r="AF12" s="10">
        <v>1.1919999999999999</v>
      </c>
      <c r="AG12" s="10">
        <v>2.0299999999999998</v>
      </c>
      <c r="AH12" s="10">
        <v>0</v>
      </c>
      <c r="AI12" s="10">
        <v>6.9</v>
      </c>
      <c r="AK12" s="9" t="s">
        <v>14</v>
      </c>
      <c r="AL12" s="10">
        <v>6.9050000000000002</v>
      </c>
      <c r="AM12" s="10">
        <v>3.3410000000000002</v>
      </c>
      <c r="AN12" s="10">
        <v>0</v>
      </c>
      <c r="AO12" s="10">
        <v>13.7</v>
      </c>
      <c r="AQ12" s="9" t="s">
        <v>14</v>
      </c>
      <c r="AR12" s="10">
        <v>1.3720000000000001</v>
      </c>
      <c r="AS12" s="10">
        <v>2.8660000000000001</v>
      </c>
      <c r="AT12" s="10">
        <v>0</v>
      </c>
      <c r="AU12" s="10">
        <v>10.3</v>
      </c>
      <c r="AW12" s="9" t="s">
        <v>14</v>
      </c>
      <c r="AX12" s="10">
        <v>5.46</v>
      </c>
      <c r="AY12" s="10">
        <v>5.4850000000000003</v>
      </c>
      <c r="AZ12" s="10">
        <v>0</v>
      </c>
      <c r="BA12" s="10">
        <v>17.3</v>
      </c>
      <c r="BC12" s="9" t="s">
        <v>14</v>
      </c>
      <c r="BD12" s="10">
        <v>14.653</v>
      </c>
      <c r="BE12" s="10">
        <v>3.948</v>
      </c>
      <c r="BF12" s="10">
        <v>7.3</v>
      </c>
      <c r="BG12" s="10">
        <v>22.7</v>
      </c>
      <c r="BI12" s="9" t="s">
        <v>14</v>
      </c>
      <c r="BJ12" s="10">
        <v>6.5000000000000002E-2</v>
      </c>
      <c r="BK12" s="10">
        <v>0.28599999999999998</v>
      </c>
      <c r="BL12" s="10">
        <v>0</v>
      </c>
      <c r="BM12" s="10">
        <v>0.7</v>
      </c>
    </row>
    <row r="13" spans="1:65" x14ac:dyDescent="0.25">
      <c r="A13" s="9" t="s">
        <v>15</v>
      </c>
      <c r="B13" s="8">
        <v>2.3650287045941258</v>
      </c>
      <c r="C13" s="8">
        <v>0.42859319340660162</v>
      </c>
      <c r="D13" s="8">
        <v>1.5249860455171866</v>
      </c>
      <c r="E13" s="8">
        <v>3.205071363671065</v>
      </c>
      <c r="G13" s="9" t="s">
        <v>15</v>
      </c>
      <c r="H13" s="10">
        <v>9.6000000000000002E-2</v>
      </c>
      <c r="I13" s="10">
        <v>0.21199999999999999</v>
      </c>
      <c r="J13" s="10">
        <v>0</v>
      </c>
      <c r="K13" s="10">
        <v>0.7</v>
      </c>
      <c r="M13" s="9" t="s">
        <v>15</v>
      </c>
      <c r="N13" s="10">
        <v>0.219</v>
      </c>
      <c r="O13" s="10">
        <v>0.438</v>
      </c>
      <c r="P13" s="10">
        <v>0</v>
      </c>
      <c r="Q13" s="10">
        <v>1.6</v>
      </c>
      <c r="S13" s="9" t="s">
        <v>15</v>
      </c>
      <c r="T13" s="10">
        <v>0.11600000000000001</v>
      </c>
      <c r="U13" s="10">
        <v>0.25600000000000001</v>
      </c>
      <c r="V13" s="10">
        <v>0</v>
      </c>
      <c r="W13" s="10">
        <v>0.9</v>
      </c>
      <c r="Y13" s="9" t="s">
        <v>15</v>
      </c>
      <c r="Z13" s="10">
        <v>0.13300000000000001</v>
      </c>
      <c r="AA13" s="10">
        <v>0.30399999999999999</v>
      </c>
      <c r="AB13" s="10">
        <v>0</v>
      </c>
      <c r="AC13" s="10">
        <v>1.1000000000000001</v>
      </c>
      <c r="AE13" s="9" t="s">
        <v>15</v>
      </c>
      <c r="AF13" s="10">
        <v>0.77400000000000002</v>
      </c>
      <c r="AG13" s="10">
        <v>1.595</v>
      </c>
      <c r="AH13" s="10">
        <v>0</v>
      </c>
      <c r="AI13" s="10">
        <v>5.8</v>
      </c>
      <c r="AK13" s="9" t="s">
        <v>15</v>
      </c>
      <c r="AL13" s="10">
        <v>2.786</v>
      </c>
      <c r="AM13" s="10">
        <v>3.1379999999999999</v>
      </c>
      <c r="AN13" s="10">
        <v>0</v>
      </c>
      <c r="AO13" s="10">
        <v>10.5</v>
      </c>
      <c r="AQ13" s="9" t="s">
        <v>15</v>
      </c>
      <c r="AR13" s="10">
        <v>22.518000000000001</v>
      </c>
      <c r="AS13" s="10">
        <v>5.742</v>
      </c>
      <c r="AT13" s="10">
        <v>11.2</v>
      </c>
      <c r="AU13" s="10">
        <v>33.6</v>
      </c>
      <c r="AW13" s="9" t="s">
        <v>15</v>
      </c>
      <c r="AX13" s="10">
        <v>13.875</v>
      </c>
      <c r="AY13" s="10">
        <v>4.8040000000000003</v>
      </c>
      <c r="AZ13" s="10">
        <v>5.0999999999999996</v>
      </c>
      <c r="BA13" s="10">
        <v>23.9</v>
      </c>
      <c r="BC13" s="9" t="s">
        <v>15</v>
      </c>
      <c r="BD13" s="10">
        <v>8.3179999999999996</v>
      </c>
      <c r="BE13" s="10">
        <v>4.08</v>
      </c>
      <c r="BF13" s="10">
        <v>0.4</v>
      </c>
      <c r="BG13" s="10">
        <v>17</v>
      </c>
      <c r="BI13" s="9" t="s">
        <v>15</v>
      </c>
      <c r="BJ13" s="10">
        <v>19.123999999999999</v>
      </c>
      <c r="BK13" s="10">
        <v>4.2809999999999997</v>
      </c>
      <c r="BL13" s="10">
        <v>11.1</v>
      </c>
      <c r="BM13" s="10">
        <v>28</v>
      </c>
    </row>
    <row r="14" spans="1:65" x14ac:dyDescent="0.25">
      <c r="A14" s="6" t="s">
        <v>105</v>
      </c>
      <c r="B14" s="8">
        <v>2.6524228277004909</v>
      </c>
      <c r="C14" s="8">
        <v>0.22626805107354059</v>
      </c>
      <c r="D14" s="8">
        <v>2.2089374475963512</v>
      </c>
      <c r="E14" s="8">
        <v>3.0959082078046305</v>
      </c>
      <c r="G14" s="6" t="s">
        <v>105</v>
      </c>
      <c r="H14" s="10">
        <v>6.3E-2</v>
      </c>
      <c r="I14" s="10">
        <v>0.14799999999999999</v>
      </c>
      <c r="J14" s="10">
        <v>0</v>
      </c>
      <c r="K14" s="10">
        <v>0.5</v>
      </c>
      <c r="M14" s="6" t="s">
        <v>105</v>
      </c>
      <c r="N14" s="10">
        <v>0.06</v>
      </c>
      <c r="O14" s="10">
        <v>0.13700000000000001</v>
      </c>
      <c r="P14" s="10">
        <v>0</v>
      </c>
      <c r="Q14" s="10">
        <v>0.4</v>
      </c>
      <c r="S14" s="6" t="s">
        <v>105</v>
      </c>
      <c r="T14" s="10">
        <v>6.3E-2</v>
      </c>
      <c r="U14" s="10">
        <v>0.153</v>
      </c>
      <c r="V14" s="10">
        <v>0</v>
      </c>
      <c r="W14" s="10">
        <v>0.5</v>
      </c>
      <c r="Y14" s="6" t="s">
        <v>105</v>
      </c>
      <c r="Z14" s="10">
        <v>6.8000000000000005E-2</v>
      </c>
      <c r="AA14" s="10">
        <v>0.16200000000000001</v>
      </c>
      <c r="AB14" s="10">
        <v>0</v>
      </c>
      <c r="AC14" s="10">
        <v>0.5</v>
      </c>
      <c r="AE14" s="6" t="s">
        <v>105</v>
      </c>
      <c r="AF14" s="10">
        <v>0.28599999999999998</v>
      </c>
      <c r="AG14" s="10">
        <v>0.69399999999999995</v>
      </c>
      <c r="AH14" s="10">
        <v>0</v>
      </c>
      <c r="AI14" s="10">
        <v>2.5</v>
      </c>
      <c r="AK14" s="6" t="s">
        <v>105</v>
      </c>
      <c r="AL14" s="10">
        <v>5.7480000000000002</v>
      </c>
      <c r="AM14" s="10">
        <v>1.5569999999999999</v>
      </c>
      <c r="AN14" s="10">
        <v>3</v>
      </c>
      <c r="AO14" s="10">
        <v>9.1</v>
      </c>
      <c r="AQ14" s="6" t="s">
        <v>105</v>
      </c>
      <c r="AR14" s="10">
        <v>15.973000000000001</v>
      </c>
      <c r="AS14" s="10">
        <v>2.5390000000000001</v>
      </c>
      <c r="AT14" s="10">
        <v>11.3</v>
      </c>
      <c r="AU14" s="10">
        <v>21.102</v>
      </c>
      <c r="AW14" s="6" t="s">
        <v>105</v>
      </c>
      <c r="AX14" s="10">
        <v>19.745000000000001</v>
      </c>
      <c r="AY14" s="10">
        <v>2.8370000000000002</v>
      </c>
      <c r="AZ14" s="10">
        <v>14.5</v>
      </c>
      <c r="BA14" s="10">
        <v>25.6</v>
      </c>
      <c r="BC14" s="6" t="s">
        <v>105</v>
      </c>
      <c r="BD14" s="10">
        <v>13.794</v>
      </c>
      <c r="BE14" s="10">
        <v>2.3159999999999998</v>
      </c>
      <c r="BF14" s="10">
        <v>9.6</v>
      </c>
      <c r="BG14" s="10">
        <v>18.7</v>
      </c>
      <c r="BI14" s="6" t="s">
        <v>105</v>
      </c>
      <c r="BJ14" s="10">
        <v>13.808</v>
      </c>
      <c r="BK14" s="10">
        <v>2.5670000000000002</v>
      </c>
      <c r="BL14" s="10">
        <v>9.1999999999999993</v>
      </c>
      <c r="BM14" s="10">
        <v>19.3</v>
      </c>
    </row>
    <row r="15" spans="1:65" x14ac:dyDescent="0.25">
      <c r="A15" s="9" t="s">
        <v>17</v>
      </c>
      <c r="B15" s="8">
        <v>2.5974394714249058</v>
      </c>
      <c r="C15" s="8">
        <v>0.21937209433497235</v>
      </c>
      <c r="D15" s="8">
        <v>2.1674701665283602</v>
      </c>
      <c r="E15" s="8">
        <v>3.0274087763214514</v>
      </c>
      <c r="G15" s="9" t="s">
        <v>17</v>
      </c>
      <c r="H15" s="10">
        <v>4.2000000000000003E-2</v>
      </c>
      <c r="I15" s="10">
        <v>0.111</v>
      </c>
      <c r="J15" s="10">
        <v>0</v>
      </c>
      <c r="K15" s="10">
        <v>0.3</v>
      </c>
      <c r="M15" s="9" t="s">
        <v>17</v>
      </c>
      <c r="N15" s="10">
        <v>3.9E-2</v>
      </c>
      <c r="O15" s="10">
        <v>9.7000000000000003E-2</v>
      </c>
      <c r="P15" s="10">
        <v>0</v>
      </c>
      <c r="Q15" s="10">
        <v>0.3</v>
      </c>
      <c r="S15" s="9" t="s">
        <v>17</v>
      </c>
      <c r="T15" s="10">
        <v>4.2999999999999997E-2</v>
      </c>
      <c r="U15" s="10">
        <v>0.11600000000000001</v>
      </c>
      <c r="V15" s="10">
        <v>0</v>
      </c>
      <c r="W15" s="10">
        <v>0.3</v>
      </c>
      <c r="Y15" s="9" t="s">
        <v>17</v>
      </c>
      <c r="Z15" s="10">
        <v>4.5999999999999999E-2</v>
      </c>
      <c r="AA15" s="10">
        <v>0.125</v>
      </c>
      <c r="AB15" s="10">
        <v>0</v>
      </c>
      <c r="AC15" s="10">
        <v>0.4</v>
      </c>
      <c r="AE15" s="9" t="s">
        <v>17</v>
      </c>
      <c r="AF15" s="10">
        <v>0.255</v>
      </c>
      <c r="AG15" s="10">
        <v>0.67300000000000004</v>
      </c>
      <c r="AH15" s="10">
        <v>0</v>
      </c>
      <c r="AI15" s="10">
        <v>2.4</v>
      </c>
      <c r="AK15" s="9" t="s">
        <v>17</v>
      </c>
      <c r="AL15" s="10">
        <v>5.7320000000000002</v>
      </c>
      <c r="AM15" s="10">
        <v>1.5529999999999999</v>
      </c>
      <c r="AN15" s="10">
        <v>3</v>
      </c>
      <c r="AO15" s="10">
        <v>9.1</v>
      </c>
      <c r="AQ15" s="9" t="s">
        <v>17</v>
      </c>
      <c r="AR15" s="10">
        <v>15.92</v>
      </c>
      <c r="AS15" s="10">
        <v>2.5270000000000001</v>
      </c>
      <c r="AT15" s="10">
        <v>11.3</v>
      </c>
      <c r="AU15" s="10">
        <v>21.1</v>
      </c>
      <c r="AW15" s="9" t="s">
        <v>17</v>
      </c>
      <c r="AX15" s="10">
        <v>19.667999999999999</v>
      </c>
      <c r="AY15" s="10">
        <v>2.8220000000000001</v>
      </c>
      <c r="AZ15" s="10">
        <v>14.4</v>
      </c>
      <c r="BA15" s="10">
        <v>25.5</v>
      </c>
      <c r="BC15" s="9" t="s">
        <v>17</v>
      </c>
      <c r="BD15" s="10">
        <v>13.765000000000001</v>
      </c>
      <c r="BE15" s="10">
        <v>2.3109999999999999</v>
      </c>
      <c r="BF15" s="10">
        <v>9.6</v>
      </c>
      <c r="BG15" s="10">
        <v>18.602</v>
      </c>
      <c r="BI15" s="9" t="s">
        <v>17</v>
      </c>
      <c r="BJ15" s="10">
        <v>12.555</v>
      </c>
      <c r="BK15" s="10">
        <v>2.1890000000000001</v>
      </c>
      <c r="BL15" s="10">
        <v>8.6</v>
      </c>
      <c r="BM15" s="10">
        <v>17</v>
      </c>
    </row>
    <row r="16" spans="1:65" x14ac:dyDescent="0.25">
      <c r="A16" s="9" t="s">
        <v>18</v>
      </c>
      <c r="B16" s="8">
        <v>6.1495649765341526E-2</v>
      </c>
      <c r="C16" s="8">
        <v>5.7769254365775999E-2</v>
      </c>
      <c r="D16" s="8">
        <v>0</v>
      </c>
      <c r="E16" s="8">
        <v>0.17472338832226247</v>
      </c>
      <c r="G16" s="9" t="s">
        <v>18</v>
      </c>
      <c r="H16" s="10">
        <v>2.5999999999999999E-2</v>
      </c>
      <c r="I16" s="10">
        <v>0.1</v>
      </c>
      <c r="J16" s="10">
        <v>0</v>
      </c>
      <c r="K16" s="10">
        <v>0.2</v>
      </c>
      <c r="M16" s="9" t="s">
        <v>18</v>
      </c>
      <c r="N16" s="10">
        <v>2.8000000000000001E-2</v>
      </c>
      <c r="O16" s="10">
        <v>0.104</v>
      </c>
      <c r="P16" s="10">
        <v>0</v>
      </c>
      <c r="Q16" s="10">
        <v>0.2</v>
      </c>
      <c r="S16" s="9" t="s">
        <v>18</v>
      </c>
      <c r="T16" s="10">
        <v>2.5999999999999999E-2</v>
      </c>
      <c r="U16" s="10">
        <v>0.10199999999999999</v>
      </c>
      <c r="V16" s="10">
        <v>0</v>
      </c>
      <c r="W16" s="10">
        <v>0.2</v>
      </c>
      <c r="Y16" s="9" t="s">
        <v>18</v>
      </c>
      <c r="Z16" s="10">
        <v>2.8000000000000001E-2</v>
      </c>
      <c r="AA16" s="10">
        <v>0.108</v>
      </c>
      <c r="AB16" s="10">
        <v>0</v>
      </c>
      <c r="AC16" s="10">
        <v>0.2</v>
      </c>
      <c r="AE16" s="9" t="s">
        <v>18</v>
      </c>
      <c r="AF16" s="10">
        <v>3.7999999999999999E-2</v>
      </c>
      <c r="AG16" s="10">
        <v>0.16600000000000001</v>
      </c>
      <c r="AH16" s="10">
        <v>0</v>
      </c>
      <c r="AI16" s="10">
        <v>0.3</v>
      </c>
      <c r="AK16" s="9" t="s">
        <v>18</v>
      </c>
      <c r="AL16" s="10">
        <v>2.5999999999999999E-2</v>
      </c>
      <c r="AM16" s="10">
        <v>9.5000000000000001E-2</v>
      </c>
      <c r="AN16" s="10">
        <v>0</v>
      </c>
      <c r="AO16" s="10">
        <v>0.2</v>
      </c>
      <c r="AQ16" s="9" t="s">
        <v>18</v>
      </c>
      <c r="AR16" s="10">
        <v>6.2E-2</v>
      </c>
      <c r="AS16" s="10">
        <v>0.248</v>
      </c>
      <c r="AT16" s="10">
        <v>0</v>
      </c>
      <c r="AU16" s="10">
        <v>0.7</v>
      </c>
      <c r="AW16" s="9" t="s">
        <v>18</v>
      </c>
      <c r="AX16" s="10">
        <v>8.2000000000000003E-2</v>
      </c>
      <c r="AY16" s="10">
        <v>0.307</v>
      </c>
      <c r="AZ16" s="10">
        <v>0</v>
      </c>
      <c r="BA16" s="10">
        <v>0.9</v>
      </c>
      <c r="BC16" s="9" t="s">
        <v>18</v>
      </c>
      <c r="BD16" s="10">
        <v>0.04</v>
      </c>
      <c r="BE16" s="10">
        <v>0.16700000000000001</v>
      </c>
      <c r="BF16" s="10">
        <v>0</v>
      </c>
      <c r="BG16" s="10">
        <v>0.4</v>
      </c>
      <c r="BI16" s="9" t="s">
        <v>18</v>
      </c>
      <c r="BJ16" s="10">
        <v>1.248</v>
      </c>
      <c r="BK16" s="10">
        <v>1.395</v>
      </c>
      <c r="BL16" s="10">
        <v>0</v>
      </c>
      <c r="BM16" s="10">
        <v>4.8</v>
      </c>
    </row>
    <row r="17" spans="1:65" x14ac:dyDescent="0.25">
      <c r="A17" t="s">
        <v>41</v>
      </c>
      <c r="B17" s="8">
        <v>9.6290417744832588</v>
      </c>
      <c r="C17" s="8">
        <v>0.6536533109600825</v>
      </c>
      <c r="D17" s="8">
        <v>8.3478812850014972</v>
      </c>
      <c r="E17" s="8">
        <v>10.91020226396502</v>
      </c>
      <c r="G17" t="s">
        <v>41</v>
      </c>
      <c r="H17" s="10">
        <v>0.25700000000000001</v>
      </c>
      <c r="I17" s="10">
        <v>0.47699999999999998</v>
      </c>
      <c r="J17" s="10">
        <v>0</v>
      </c>
      <c r="K17" s="10">
        <v>1.7</v>
      </c>
      <c r="M17" t="s">
        <v>41</v>
      </c>
      <c r="N17" s="10">
        <v>0.246</v>
      </c>
      <c r="O17" s="10">
        <v>0.44600000000000001</v>
      </c>
      <c r="P17" s="10">
        <v>0</v>
      </c>
      <c r="Q17" s="10">
        <v>1.6</v>
      </c>
      <c r="S17" t="s">
        <v>41</v>
      </c>
      <c r="T17" s="10">
        <v>1.534</v>
      </c>
      <c r="U17" s="10">
        <v>1.244</v>
      </c>
      <c r="V17" s="10">
        <v>0</v>
      </c>
      <c r="W17" s="10">
        <v>4.4020000000000001</v>
      </c>
      <c r="Y17" t="s">
        <v>41</v>
      </c>
      <c r="Z17" s="10">
        <v>0.30299999999999999</v>
      </c>
      <c r="AA17" s="10">
        <v>0.56200000000000006</v>
      </c>
      <c r="AB17" s="10">
        <v>0</v>
      </c>
      <c r="AC17" s="10">
        <v>2</v>
      </c>
      <c r="AE17" t="s">
        <v>41</v>
      </c>
      <c r="AF17" s="10">
        <v>5.5869999999999997</v>
      </c>
      <c r="AG17" s="10">
        <v>4.1390000000000002</v>
      </c>
      <c r="AH17" s="10">
        <v>0</v>
      </c>
      <c r="AI17" s="10">
        <v>14.9</v>
      </c>
      <c r="AK17" t="s">
        <v>41</v>
      </c>
      <c r="AL17" s="10">
        <v>25.04</v>
      </c>
      <c r="AM17" s="10">
        <v>5.359</v>
      </c>
      <c r="AN17" s="10">
        <v>14.6</v>
      </c>
      <c r="AO17" s="10">
        <v>35.799999999999997</v>
      </c>
      <c r="AQ17" t="s">
        <v>41</v>
      </c>
      <c r="AR17" s="10">
        <v>29.632000000000001</v>
      </c>
      <c r="AS17" s="10">
        <v>6.9660000000000002</v>
      </c>
      <c r="AT17" s="10">
        <v>16.7</v>
      </c>
      <c r="AU17" s="10">
        <v>43.7</v>
      </c>
      <c r="AW17" t="s">
        <v>41</v>
      </c>
      <c r="AX17" s="10">
        <v>53.201000000000001</v>
      </c>
      <c r="AY17" s="10">
        <v>5.94</v>
      </c>
      <c r="AZ17" s="10">
        <v>41.5</v>
      </c>
      <c r="BA17" s="10">
        <v>64.602000000000004</v>
      </c>
      <c r="BC17" t="s">
        <v>41</v>
      </c>
      <c r="BD17" s="10">
        <v>55.898000000000003</v>
      </c>
      <c r="BE17" s="10">
        <v>5.1440000000000001</v>
      </c>
      <c r="BF17" s="10">
        <v>45.8</v>
      </c>
      <c r="BG17" s="10">
        <v>66</v>
      </c>
      <c r="BI17" t="s">
        <v>41</v>
      </c>
      <c r="BJ17" s="10">
        <v>59.334000000000003</v>
      </c>
      <c r="BK17" s="10">
        <v>4.6710000000000003</v>
      </c>
      <c r="BL17" s="10">
        <v>49.8</v>
      </c>
      <c r="BM17" s="10">
        <v>68.2</v>
      </c>
    </row>
    <row r="18" spans="1:65" x14ac:dyDescent="0.25">
      <c r="A18" t="s">
        <v>106</v>
      </c>
      <c r="B18" s="8">
        <v>5.030207509670519</v>
      </c>
      <c r="C18" s="8">
        <v>0.4682724768184045</v>
      </c>
      <c r="D18" s="8">
        <v>4.1123934551064458</v>
      </c>
      <c r="E18" s="8">
        <v>5.9480215642345922</v>
      </c>
      <c r="G18" t="s">
        <v>106</v>
      </c>
      <c r="H18" s="10">
        <v>0.14099999999999999</v>
      </c>
      <c r="I18" s="10">
        <v>0.25800000000000001</v>
      </c>
      <c r="J18" s="10">
        <v>0</v>
      </c>
      <c r="K18" s="10">
        <v>0.9</v>
      </c>
      <c r="M18" t="s">
        <v>106</v>
      </c>
      <c r="N18" s="10">
        <v>0.26200000000000001</v>
      </c>
      <c r="O18" s="10">
        <v>0.45700000000000002</v>
      </c>
      <c r="P18" s="10">
        <v>0</v>
      </c>
      <c r="Q18" s="10">
        <v>1.7</v>
      </c>
      <c r="S18" t="s">
        <v>106</v>
      </c>
      <c r="T18" s="10">
        <v>0.16200000000000001</v>
      </c>
      <c r="U18" s="10">
        <v>0.29699999999999999</v>
      </c>
      <c r="V18" s="10">
        <v>0</v>
      </c>
      <c r="W18" s="10">
        <v>1.1000000000000001</v>
      </c>
      <c r="Y18" t="s">
        <v>106</v>
      </c>
      <c r="Z18" s="10">
        <v>0.184</v>
      </c>
      <c r="AA18" s="10">
        <v>0.34100000000000003</v>
      </c>
      <c r="AB18" s="10">
        <v>0</v>
      </c>
      <c r="AC18" s="10">
        <v>1.2</v>
      </c>
      <c r="AE18" t="s">
        <v>106</v>
      </c>
      <c r="AF18" s="10">
        <v>1.046</v>
      </c>
      <c r="AG18" s="10">
        <v>1.742</v>
      </c>
      <c r="AH18" s="10">
        <v>0</v>
      </c>
      <c r="AI18" s="10">
        <v>6.2</v>
      </c>
      <c r="AK18" t="s">
        <v>106</v>
      </c>
      <c r="AL18" s="10">
        <v>8.5359999999999996</v>
      </c>
      <c r="AM18" s="10">
        <v>3.4990000000000001</v>
      </c>
      <c r="AN18" s="10">
        <v>3.6</v>
      </c>
      <c r="AO18" s="10">
        <v>16.600000000000001</v>
      </c>
      <c r="AQ18" t="s">
        <v>106</v>
      </c>
      <c r="AR18" s="10">
        <v>38.491</v>
      </c>
      <c r="AS18" s="10">
        <v>5.9160000000000004</v>
      </c>
      <c r="AT18" s="10">
        <v>26.6</v>
      </c>
      <c r="AU18" s="10">
        <v>50</v>
      </c>
      <c r="AW18" t="s">
        <v>106</v>
      </c>
      <c r="AX18" s="10">
        <v>33.627000000000002</v>
      </c>
      <c r="AY18" s="10">
        <v>5.4039999999999999</v>
      </c>
      <c r="AZ18" s="10">
        <v>23.6</v>
      </c>
      <c r="BA18" s="10">
        <v>44.7</v>
      </c>
      <c r="BC18" t="s">
        <v>106</v>
      </c>
      <c r="BD18" s="10">
        <v>22.114999999999998</v>
      </c>
      <c r="BE18" s="10">
        <v>4.4320000000000004</v>
      </c>
      <c r="BF18" s="10">
        <v>13.9</v>
      </c>
      <c r="BG18" s="10">
        <v>31.4</v>
      </c>
      <c r="BI18" t="s">
        <v>106</v>
      </c>
      <c r="BJ18" s="10">
        <v>32.938000000000002</v>
      </c>
      <c r="BK18" s="10">
        <v>4.4560000000000004</v>
      </c>
      <c r="BL18" s="10">
        <v>24.498000000000001</v>
      </c>
      <c r="BM18" s="10">
        <v>42</v>
      </c>
    </row>
    <row r="19" spans="1:65" x14ac:dyDescent="0.25">
      <c r="A19" t="s">
        <v>22</v>
      </c>
      <c r="B19" s="8">
        <v>11.188443130993864</v>
      </c>
      <c r="C19" s="8">
        <v>0.57564326170928903</v>
      </c>
      <c r="D19" s="8">
        <v>10.060182338043658</v>
      </c>
      <c r="E19" s="8">
        <v>12.31670392394407</v>
      </c>
      <c r="G19" t="s">
        <v>22</v>
      </c>
      <c r="H19" s="10">
        <v>0.316</v>
      </c>
      <c r="I19" s="10">
        <v>0.48299999999999998</v>
      </c>
      <c r="J19" s="10">
        <v>0</v>
      </c>
      <c r="K19" s="10">
        <v>1.7</v>
      </c>
      <c r="M19" t="s">
        <v>22</v>
      </c>
      <c r="N19" s="10">
        <v>0.34699999999999998</v>
      </c>
      <c r="O19" s="10">
        <v>0.50800000000000001</v>
      </c>
      <c r="P19" s="10">
        <v>0</v>
      </c>
      <c r="Q19" s="10">
        <v>1.8</v>
      </c>
      <c r="S19" t="s">
        <v>22</v>
      </c>
      <c r="T19" s="10">
        <v>1.627</v>
      </c>
      <c r="U19" s="10">
        <v>1.2370000000000001</v>
      </c>
      <c r="V19" s="10">
        <v>0</v>
      </c>
      <c r="W19" s="10">
        <v>4.5</v>
      </c>
      <c r="Y19" t="s">
        <v>22</v>
      </c>
      <c r="Z19" s="10">
        <v>0.39700000000000002</v>
      </c>
      <c r="AA19" s="10">
        <v>0.60899999999999999</v>
      </c>
      <c r="AB19" s="10">
        <v>0</v>
      </c>
      <c r="AC19" s="10">
        <v>2.1</v>
      </c>
      <c r="AE19" t="s">
        <v>22</v>
      </c>
      <c r="AF19" s="10">
        <v>6.4829999999999997</v>
      </c>
      <c r="AG19" s="10">
        <v>3.8069999999999999</v>
      </c>
      <c r="AH19" s="10">
        <v>0.4</v>
      </c>
      <c r="AI19" s="10">
        <v>15.2</v>
      </c>
      <c r="AK19" t="s">
        <v>22</v>
      </c>
      <c r="AL19" s="10">
        <v>36.953000000000003</v>
      </c>
      <c r="AM19" s="10">
        <v>4.367</v>
      </c>
      <c r="AN19" s="10">
        <v>28.7</v>
      </c>
      <c r="AO19" s="10">
        <v>45.7</v>
      </c>
      <c r="AQ19" t="s">
        <v>22</v>
      </c>
      <c r="AR19" s="10">
        <v>55.837000000000003</v>
      </c>
      <c r="AS19" s="10">
        <v>4.38</v>
      </c>
      <c r="AT19" s="10">
        <v>47.3</v>
      </c>
      <c r="AU19" s="10">
        <v>64.3</v>
      </c>
      <c r="AW19" t="s">
        <v>22</v>
      </c>
      <c r="AX19" s="10">
        <v>66.061000000000007</v>
      </c>
      <c r="AY19" s="10">
        <v>4.6840000000000002</v>
      </c>
      <c r="AZ19" s="10">
        <v>56.5</v>
      </c>
      <c r="BA19" s="10">
        <v>74.8</v>
      </c>
      <c r="BC19" t="s">
        <v>22</v>
      </c>
      <c r="BD19" s="10">
        <v>56.57</v>
      </c>
      <c r="BE19" s="10">
        <v>4.3860000000000001</v>
      </c>
      <c r="BF19" s="10">
        <v>47.9</v>
      </c>
      <c r="BG19" s="10">
        <v>65</v>
      </c>
      <c r="BI19" t="s">
        <v>22</v>
      </c>
      <c r="BJ19" s="10">
        <v>44.872999999999998</v>
      </c>
      <c r="BK19" s="10">
        <v>4.0110000000000001</v>
      </c>
      <c r="BL19" s="10">
        <v>37.200000000000003</v>
      </c>
      <c r="BM19" s="10">
        <v>52.7</v>
      </c>
    </row>
    <row r="20" spans="1:65" x14ac:dyDescent="0.25">
      <c r="A20" t="s">
        <v>42</v>
      </c>
      <c r="B20" s="8">
        <v>93.386579498499955</v>
      </c>
      <c r="C20" s="8">
        <v>0.50197816085130975</v>
      </c>
      <c r="D20" s="8">
        <v>92.402702303231393</v>
      </c>
      <c r="E20" s="8">
        <v>94.370456693768517</v>
      </c>
      <c r="G20" t="s">
        <v>42</v>
      </c>
      <c r="H20" s="10">
        <v>99.835999999999999</v>
      </c>
      <c r="I20" s="10">
        <v>0.28499999999999998</v>
      </c>
      <c r="J20" s="10">
        <v>99</v>
      </c>
      <c r="K20" s="10">
        <v>100</v>
      </c>
      <c r="M20" t="s">
        <v>42</v>
      </c>
      <c r="N20" s="10">
        <v>99.722999999999999</v>
      </c>
      <c r="O20" s="10">
        <v>0.46600000000000003</v>
      </c>
      <c r="P20" s="10">
        <v>98.3</v>
      </c>
      <c r="Q20" s="10">
        <v>100</v>
      </c>
      <c r="S20" t="s">
        <v>42</v>
      </c>
      <c r="T20" s="10">
        <v>99.804000000000002</v>
      </c>
      <c r="U20" s="10">
        <v>0.34100000000000003</v>
      </c>
      <c r="V20" s="10">
        <v>98.8</v>
      </c>
      <c r="W20" s="10">
        <v>100</v>
      </c>
      <c r="Y20" t="s">
        <v>42</v>
      </c>
      <c r="Z20" s="10">
        <v>99.79</v>
      </c>
      <c r="AA20" s="10">
        <v>0.35799999999999998</v>
      </c>
      <c r="AB20" s="10">
        <v>98.7</v>
      </c>
      <c r="AC20" s="10">
        <v>100</v>
      </c>
      <c r="AE20" t="s">
        <v>42</v>
      </c>
      <c r="AF20" s="10">
        <v>97.77</v>
      </c>
      <c r="AG20" s="10">
        <v>2.5209999999999999</v>
      </c>
      <c r="AH20" s="10">
        <v>91.3</v>
      </c>
      <c r="AI20" s="10">
        <v>100</v>
      </c>
      <c r="AK20" t="s">
        <v>42</v>
      </c>
      <c r="AL20" s="10">
        <v>84.555000000000007</v>
      </c>
      <c r="AM20" s="10">
        <v>4.1230000000000002</v>
      </c>
      <c r="AN20" s="10">
        <v>75.599999999999994</v>
      </c>
      <c r="AO20" s="10">
        <v>91.701999999999998</v>
      </c>
      <c r="AQ20" t="s">
        <v>42</v>
      </c>
      <c r="AR20" s="10">
        <v>60.14</v>
      </c>
      <c r="AS20" s="10">
        <v>5.8949999999999996</v>
      </c>
      <c r="AT20" s="10">
        <v>48.7</v>
      </c>
      <c r="AU20" s="10">
        <v>72.001999999999995</v>
      </c>
      <c r="AW20" t="s">
        <v>42</v>
      </c>
      <c r="AX20" s="10">
        <v>60.908999999999999</v>
      </c>
      <c r="AY20" s="10">
        <v>5.7240000000000002</v>
      </c>
      <c r="AZ20" s="10">
        <v>49.698</v>
      </c>
      <c r="BA20" s="10">
        <v>71.8</v>
      </c>
      <c r="BC20" t="s">
        <v>42</v>
      </c>
      <c r="BD20" s="10">
        <v>63.226999999999997</v>
      </c>
      <c r="BE20" s="10">
        <v>4.7549999999999999</v>
      </c>
      <c r="BF20" s="10">
        <v>53.9</v>
      </c>
      <c r="BG20" s="10">
        <v>72.400000000000006</v>
      </c>
      <c r="BI20" t="s">
        <v>42</v>
      </c>
      <c r="BJ20" s="10">
        <v>67.004000000000005</v>
      </c>
      <c r="BK20" s="10">
        <v>4.4560000000000004</v>
      </c>
      <c r="BL20" s="10">
        <v>57.9</v>
      </c>
      <c r="BM20" s="10">
        <v>75.5</v>
      </c>
    </row>
    <row r="21" spans="1:65" x14ac:dyDescent="0.25">
      <c r="A21" t="s">
        <v>21</v>
      </c>
      <c r="B21" s="8">
        <v>6.6134205015000394</v>
      </c>
      <c r="C21" s="8">
        <v>0.50198178521111991</v>
      </c>
      <c r="D21" s="8">
        <v>5.6295362024862445</v>
      </c>
      <c r="E21" s="8">
        <v>7.5973048005138342</v>
      </c>
      <c r="G21" t="s">
        <v>21</v>
      </c>
      <c r="H21" s="10">
        <v>0.16400000000000001</v>
      </c>
      <c r="I21" s="10">
        <v>0.28599999999999998</v>
      </c>
      <c r="J21" s="10">
        <v>0</v>
      </c>
      <c r="K21" s="10">
        <v>1</v>
      </c>
      <c r="M21" t="s">
        <v>21</v>
      </c>
      <c r="N21" s="10">
        <v>0.27700000000000002</v>
      </c>
      <c r="O21" s="10">
        <v>0.46500000000000002</v>
      </c>
      <c r="P21" s="10">
        <v>0</v>
      </c>
      <c r="Q21" s="10">
        <v>1.7</v>
      </c>
      <c r="S21" t="s">
        <v>21</v>
      </c>
      <c r="T21" s="10">
        <v>0.19600000000000001</v>
      </c>
      <c r="U21" s="10">
        <v>0.34300000000000003</v>
      </c>
      <c r="V21" s="10">
        <v>0</v>
      </c>
      <c r="W21" s="10">
        <v>1.2</v>
      </c>
      <c r="Y21" t="s">
        <v>21</v>
      </c>
      <c r="Z21" s="10">
        <v>0.21</v>
      </c>
      <c r="AA21" s="10">
        <v>0.36</v>
      </c>
      <c r="AB21" s="10">
        <v>0</v>
      </c>
      <c r="AC21" s="10">
        <v>1.3</v>
      </c>
      <c r="AE21" t="s">
        <v>21</v>
      </c>
      <c r="AF21" s="10">
        <v>2.23</v>
      </c>
      <c r="AG21" s="10">
        <v>2.5219999999999998</v>
      </c>
      <c r="AH21" s="10">
        <v>0</v>
      </c>
      <c r="AI21" s="10">
        <v>8.6020000000000003</v>
      </c>
      <c r="AK21" t="s">
        <v>21</v>
      </c>
      <c r="AL21" s="10">
        <v>15.445</v>
      </c>
      <c r="AM21" s="10">
        <v>4.1230000000000002</v>
      </c>
      <c r="AN21" s="10">
        <v>8.1999999999999993</v>
      </c>
      <c r="AO21" s="10">
        <v>24.4</v>
      </c>
      <c r="AQ21" t="s">
        <v>21</v>
      </c>
      <c r="AR21" s="10">
        <v>39.86</v>
      </c>
      <c r="AS21" s="10">
        <v>5.8940000000000001</v>
      </c>
      <c r="AT21" s="10">
        <v>27.998000000000001</v>
      </c>
      <c r="AU21" s="10">
        <v>51.3</v>
      </c>
      <c r="AW21" t="s">
        <v>21</v>
      </c>
      <c r="AX21" s="10">
        <v>39.091000000000001</v>
      </c>
      <c r="AY21" s="10">
        <v>5.7240000000000002</v>
      </c>
      <c r="AZ21" s="10">
        <v>28.2</v>
      </c>
      <c r="BA21" s="10">
        <v>50.3</v>
      </c>
      <c r="BC21" t="s">
        <v>21</v>
      </c>
      <c r="BD21" s="10">
        <v>36.773000000000003</v>
      </c>
      <c r="BE21" s="10">
        <v>4.7539999999999996</v>
      </c>
      <c r="BF21" s="10">
        <v>27.6</v>
      </c>
      <c r="BG21" s="10">
        <v>46.1</v>
      </c>
      <c r="BI21" t="s">
        <v>21</v>
      </c>
      <c r="BJ21" s="10">
        <v>32.996000000000002</v>
      </c>
      <c r="BK21" s="10">
        <v>4.4560000000000004</v>
      </c>
      <c r="BL21" s="10">
        <v>24.5</v>
      </c>
      <c r="BM21" s="10">
        <v>42.1</v>
      </c>
    </row>
    <row r="24" spans="1:65" x14ac:dyDescent="0.25">
      <c r="A24" s="5" t="s">
        <v>107</v>
      </c>
      <c r="G24" s="16" t="s">
        <v>195</v>
      </c>
    </row>
    <row r="25" spans="1:65" x14ac:dyDescent="0.25">
      <c r="A25" t="s">
        <v>64</v>
      </c>
      <c r="B25" s="6" t="s">
        <v>73</v>
      </c>
      <c r="C25" s="6" t="s">
        <v>34</v>
      </c>
      <c r="D25" s="14" t="s">
        <v>35</v>
      </c>
      <c r="E25" s="14"/>
      <c r="G25" s="16" t="s">
        <v>196</v>
      </c>
    </row>
    <row r="26" spans="1:65" x14ac:dyDescent="0.25">
      <c r="A26" t="s">
        <v>9</v>
      </c>
      <c r="B26" s="8">
        <v>98.848544531685619</v>
      </c>
      <c r="C26" s="8">
        <v>0.5052580652252755</v>
      </c>
      <c r="D26" s="8">
        <v>97.858238723844082</v>
      </c>
      <c r="E26" s="8">
        <v>99.838850339527156</v>
      </c>
      <c r="G26" s="17" t="s">
        <v>197</v>
      </c>
    </row>
    <row r="27" spans="1:65" x14ac:dyDescent="0.25">
      <c r="A27" s="6" t="s">
        <v>10</v>
      </c>
      <c r="B27" s="8">
        <v>78.124298370883892</v>
      </c>
      <c r="C27" s="8">
        <v>3.227294636522974</v>
      </c>
      <c r="D27" s="8">
        <v>71.798800883298867</v>
      </c>
      <c r="E27" s="8">
        <v>84.449795858468917</v>
      </c>
      <c r="G27" s="18" t="s">
        <v>198</v>
      </c>
    </row>
    <row r="28" spans="1:65" x14ac:dyDescent="0.25">
      <c r="A28" s="6" t="s">
        <v>101</v>
      </c>
      <c r="B28" s="8">
        <v>20.669836402682542</v>
      </c>
      <c r="C28" s="8">
        <v>3.258240788293373</v>
      </c>
      <c r="D28" s="8">
        <v>14.28368445762753</v>
      </c>
      <c r="E28" s="8">
        <v>27.055988347737554</v>
      </c>
      <c r="G28" s="18" t="s">
        <v>199</v>
      </c>
    </row>
    <row r="29" spans="1:65" x14ac:dyDescent="0.25">
      <c r="A29" s="9" t="s">
        <v>102</v>
      </c>
      <c r="B29" s="8">
        <v>18.553636690528219</v>
      </c>
      <c r="C29" s="8">
        <v>3.3523781199627982</v>
      </c>
      <c r="D29" s="8">
        <v>11.982975575401134</v>
      </c>
      <c r="E29" s="8">
        <v>25.124297805655303</v>
      </c>
      <c r="G29" s="18" t="s">
        <v>200</v>
      </c>
    </row>
    <row r="30" spans="1:65" x14ac:dyDescent="0.25">
      <c r="A30" s="9" t="s">
        <v>103</v>
      </c>
      <c r="B30" s="8">
        <v>2.107289322583076</v>
      </c>
      <c r="C30" s="8">
        <v>0.73284508944666182</v>
      </c>
      <c r="D30" s="8">
        <v>0.67091294726761874</v>
      </c>
      <c r="E30" s="8">
        <v>3.5436656978985335</v>
      </c>
      <c r="G30" s="16" t="s">
        <v>201</v>
      </c>
    </row>
    <row r="31" spans="1:65" x14ac:dyDescent="0.25">
      <c r="A31" t="s">
        <v>11</v>
      </c>
      <c r="B31" s="8">
        <v>1.1514554683143696</v>
      </c>
      <c r="C31" s="8">
        <v>0.50484630967531163</v>
      </c>
      <c r="D31" s="8">
        <v>0.16195670135075879</v>
      </c>
      <c r="E31" s="8">
        <v>2.1409542352779805</v>
      </c>
      <c r="G31" s="16" t="s">
        <v>202</v>
      </c>
    </row>
    <row r="32" spans="1:65" x14ac:dyDescent="0.25">
      <c r="A32" s="6" t="s">
        <v>103</v>
      </c>
      <c r="B32" s="8">
        <v>0.17354336221837088</v>
      </c>
      <c r="C32" s="8">
        <v>0.18606428211895137</v>
      </c>
      <c r="D32" s="8">
        <v>0</v>
      </c>
      <c r="E32" s="8">
        <v>0.5382293551715156</v>
      </c>
      <c r="G32" s="16" t="s">
        <v>203</v>
      </c>
    </row>
    <row r="33" spans="1:7" x14ac:dyDescent="0.25">
      <c r="A33" s="6" t="s">
        <v>38</v>
      </c>
      <c r="B33" s="8">
        <v>0.71499557682164128</v>
      </c>
      <c r="C33" s="8">
        <v>0.43751456945141792</v>
      </c>
      <c r="D33" s="8">
        <v>0</v>
      </c>
      <c r="E33" s="8">
        <v>1.5725241329464203</v>
      </c>
      <c r="G33" s="16" t="s">
        <v>204</v>
      </c>
    </row>
    <row r="34" spans="1:7" x14ac:dyDescent="0.25">
      <c r="A34" s="6" t="s">
        <v>104</v>
      </c>
      <c r="B34" s="8">
        <v>0.24057163288373143</v>
      </c>
      <c r="C34" s="8">
        <v>0.210491389858247</v>
      </c>
      <c r="D34" s="8">
        <v>0</v>
      </c>
      <c r="E34" s="8">
        <v>0.65313475700589552</v>
      </c>
      <c r="G34" s="16" t="s">
        <v>205</v>
      </c>
    </row>
    <row r="35" spans="1:7" x14ac:dyDescent="0.25">
      <c r="A35" s="9" t="s">
        <v>14</v>
      </c>
      <c r="B35" s="8">
        <v>7.62890498078517E-2</v>
      </c>
      <c r="C35" s="8">
        <v>0.10199941245520905</v>
      </c>
      <c r="D35" s="8">
        <v>0</v>
      </c>
      <c r="E35" s="8">
        <v>0.27620789822006142</v>
      </c>
      <c r="G35" s="16" t="s">
        <v>206</v>
      </c>
    </row>
    <row r="36" spans="1:7" x14ac:dyDescent="0.25">
      <c r="A36" s="9" t="s">
        <v>15</v>
      </c>
      <c r="B36" s="8">
        <v>0.17288091477658052</v>
      </c>
      <c r="C36" s="8">
        <v>0.18651319974222308</v>
      </c>
      <c r="D36" s="8">
        <v>0</v>
      </c>
      <c r="E36" s="8">
        <v>0.5384467862713378</v>
      </c>
      <c r="G36" s="16" t="s">
        <v>207</v>
      </c>
    </row>
    <row r="37" spans="1:7" x14ac:dyDescent="0.25">
      <c r="A37" s="6" t="s">
        <v>105</v>
      </c>
      <c r="B37" s="8">
        <v>7.0738307587973781E-2</v>
      </c>
      <c r="C37" s="8">
        <v>7.9840149914579078E-2</v>
      </c>
      <c r="D37" s="8">
        <v>0</v>
      </c>
      <c r="E37" s="8">
        <v>0.22722500142054877</v>
      </c>
      <c r="G37" s="16" t="s">
        <v>208</v>
      </c>
    </row>
    <row r="38" spans="1:7" x14ac:dyDescent="0.25">
      <c r="A38" s="9" t="s">
        <v>17</v>
      </c>
      <c r="B38" s="8">
        <v>4.9585423856529275E-2</v>
      </c>
      <c r="C38" s="8">
        <v>6.1183064823822027E-2</v>
      </c>
      <c r="D38" s="8">
        <v>0</v>
      </c>
      <c r="E38" s="8">
        <v>0.16950423091122044</v>
      </c>
      <c r="G38" s="16" t="s">
        <v>209</v>
      </c>
    </row>
    <row r="39" spans="1:7" x14ac:dyDescent="0.25">
      <c r="A39" s="9" t="s">
        <v>18</v>
      </c>
      <c r="B39" s="8">
        <v>2.7339808605229447E-2</v>
      </c>
      <c r="C39" s="8">
        <v>5.3570314031786088E-2</v>
      </c>
      <c r="D39" s="8">
        <v>0</v>
      </c>
      <c r="E39" s="8">
        <v>0.13233762410753019</v>
      </c>
      <c r="G39" s="16" t="s">
        <v>210</v>
      </c>
    </row>
    <row r="40" spans="1:7" x14ac:dyDescent="0.25">
      <c r="A40" t="s">
        <v>41</v>
      </c>
      <c r="B40" s="8">
        <v>0.85177969859091252</v>
      </c>
      <c r="C40" s="8">
        <v>0.4676337653209639</v>
      </c>
      <c r="D40" s="8">
        <v>0</v>
      </c>
      <c r="E40" s="8">
        <v>1.7683418786200016</v>
      </c>
      <c r="G40" s="16" t="s">
        <v>211</v>
      </c>
    </row>
    <row r="41" spans="1:7" x14ac:dyDescent="0.25">
      <c r="A41" t="s">
        <v>106</v>
      </c>
      <c r="B41" s="8">
        <v>0.25889296059076183</v>
      </c>
      <c r="C41" s="8">
        <v>0.21575866577966255</v>
      </c>
      <c r="D41" s="8">
        <v>0</v>
      </c>
      <c r="E41" s="8">
        <v>0.68177994551890042</v>
      </c>
      <c r="G41" s="16" t="s">
        <v>212</v>
      </c>
    </row>
    <row r="42" spans="1:7" x14ac:dyDescent="0.25">
      <c r="A42" t="s">
        <v>22</v>
      </c>
      <c r="B42" s="8">
        <v>0.98124265239996988</v>
      </c>
      <c r="C42" s="8">
        <v>0.47554120902017627</v>
      </c>
      <c r="D42" s="8">
        <v>4.9181882720424452E-2</v>
      </c>
      <c r="E42" s="8">
        <v>1.9133034220795153</v>
      </c>
      <c r="G42" s="19" t="s">
        <v>213</v>
      </c>
    </row>
    <row r="43" spans="1:7" x14ac:dyDescent="0.25">
      <c r="A43" t="s">
        <v>42</v>
      </c>
      <c r="B43" s="8">
        <v>99.706650042950784</v>
      </c>
      <c r="C43" s="8">
        <v>0.22344972727944842</v>
      </c>
      <c r="D43" s="8">
        <v>99.268688577483061</v>
      </c>
      <c r="E43" s="8">
        <v>100.14461150841851</v>
      </c>
    </row>
    <row r="44" spans="1:7" x14ac:dyDescent="0.25">
      <c r="A44" t="s">
        <v>21</v>
      </c>
      <c r="B44" s="8">
        <v>0.29334995704920502</v>
      </c>
      <c r="C44" s="8">
        <v>0.22364706086436609</v>
      </c>
      <c r="D44" s="8">
        <v>0</v>
      </c>
      <c r="E44" s="8">
        <v>0.73169819634336253</v>
      </c>
    </row>
    <row r="46" spans="1:7" x14ac:dyDescent="0.25">
      <c r="A46" s="5" t="s">
        <v>108</v>
      </c>
    </row>
    <row r="47" spans="1:7" x14ac:dyDescent="0.25">
      <c r="A47" t="s">
        <v>64</v>
      </c>
      <c r="B47" s="6" t="s">
        <v>73</v>
      </c>
      <c r="C47" s="6" t="s">
        <v>34</v>
      </c>
      <c r="D47" s="14" t="s">
        <v>35</v>
      </c>
      <c r="E47" s="14"/>
    </row>
    <row r="48" spans="1:7" x14ac:dyDescent="0.25">
      <c r="A48" t="s">
        <v>9</v>
      </c>
      <c r="B48" s="8">
        <v>24.96688437932734</v>
      </c>
      <c r="C48" s="8">
        <v>1.7566254745459124</v>
      </c>
      <c r="D48" s="8">
        <v>21.523898449217352</v>
      </c>
      <c r="E48" s="8">
        <v>28.409870309437327</v>
      </c>
    </row>
    <row r="49" spans="1:5" x14ac:dyDescent="0.25">
      <c r="A49" s="6" t="s">
        <v>10</v>
      </c>
      <c r="B49" s="8">
        <v>12.3784693653625</v>
      </c>
      <c r="C49" s="8">
        <v>1.3293619078193719</v>
      </c>
      <c r="D49" s="8">
        <v>9.7729200260365303</v>
      </c>
      <c r="E49" s="8">
        <v>14.98401870468847</v>
      </c>
    </row>
    <row r="50" spans="1:5" x14ac:dyDescent="0.25">
      <c r="A50" s="6" t="s">
        <v>101</v>
      </c>
      <c r="B50" s="8">
        <v>12.585434687962071</v>
      </c>
      <c r="C50" s="8">
        <v>1.9189830153644696</v>
      </c>
      <c r="D50" s="8">
        <v>8.8242279778477108</v>
      </c>
      <c r="E50" s="8">
        <v>16.346641398076432</v>
      </c>
    </row>
    <row r="51" spans="1:5" x14ac:dyDescent="0.25">
      <c r="A51" s="9" t="s">
        <v>102</v>
      </c>
      <c r="B51" s="8">
        <v>8.7682810483019207</v>
      </c>
      <c r="C51" s="8">
        <v>2.1275593428139246</v>
      </c>
      <c r="D51" s="8">
        <v>4.5982647363866285</v>
      </c>
      <c r="E51" s="8">
        <v>12.938297360217213</v>
      </c>
    </row>
    <row r="52" spans="1:5" x14ac:dyDescent="0.25">
      <c r="A52" s="9" t="s">
        <v>103</v>
      </c>
      <c r="B52" s="8">
        <v>3.8253633088459646</v>
      </c>
      <c r="C52" s="8">
        <v>1.4012866140074329</v>
      </c>
      <c r="D52" s="8">
        <v>1.0788415453913962</v>
      </c>
      <c r="E52" s="8">
        <v>6.5718850723005335</v>
      </c>
    </row>
    <row r="53" spans="1:5" x14ac:dyDescent="0.25">
      <c r="A53" t="s">
        <v>11</v>
      </c>
      <c r="B53" s="8">
        <v>75.03311562067266</v>
      </c>
      <c r="C53" s="8">
        <v>1.7568915289122913</v>
      </c>
      <c r="D53" s="8">
        <v>71.589608224004564</v>
      </c>
      <c r="E53" s="8">
        <v>78.476623017340756</v>
      </c>
    </row>
    <row r="54" spans="1:5" x14ac:dyDescent="0.25">
      <c r="A54" s="6" t="s">
        <v>103</v>
      </c>
      <c r="B54" s="8">
        <v>24.100417721853216</v>
      </c>
      <c r="C54" s="8">
        <v>1.917003489673089</v>
      </c>
      <c r="D54" s="8">
        <v>20.343090882093961</v>
      </c>
      <c r="E54" s="8">
        <v>27.857744561612471</v>
      </c>
    </row>
    <row r="55" spans="1:5" x14ac:dyDescent="0.25">
      <c r="A55" s="6" t="s">
        <v>38</v>
      </c>
      <c r="B55" s="8">
        <v>19.704414471213649</v>
      </c>
      <c r="C55" s="8">
        <v>2.4747114575824543</v>
      </c>
      <c r="D55" s="8">
        <v>14.85398001435204</v>
      </c>
      <c r="E55" s="8">
        <v>24.554848928075259</v>
      </c>
    </row>
    <row r="56" spans="1:5" x14ac:dyDescent="0.25">
      <c r="A56" s="6" t="s">
        <v>104</v>
      </c>
      <c r="B56" s="8">
        <v>18.510347759757785</v>
      </c>
      <c r="C56" s="8">
        <v>2.20887667841609</v>
      </c>
      <c r="D56" s="8">
        <v>14.180949470062249</v>
      </c>
      <c r="E56" s="8">
        <v>22.839746049453321</v>
      </c>
    </row>
    <row r="57" spans="1:5" x14ac:dyDescent="0.25">
      <c r="A57" s="9" t="s">
        <v>14</v>
      </c>
      <c r="B57" s="8">
        <v>7.6108898215082021</v>
      </c>
      <c r="C57" s="8">
        <v>1.7911528679853854</v>
      </c>
      <c r="D57" s="8">
        <v>4.1002302002568474</v>
      </c>
      <c r="E57" s="8">
        <v>11.121549442759557</v>
      </c>
    </row>
    <row r="58" spans="1:5" x14ac:dyDescent="0.25">
      <c r="A58" s="9" t="s">
        <v>15</v>
      </c>
      <c r="B58" s="8">
        <v>10.900009259041942</v>
      </c>
      <c r="C58" s="8">
        <v>1.967562333583335</v>
      </c>
      <c r="D58" s="8">
        <v>7.043587085218606</v>
      </c>
      <c r="E58" s="8">
        <v>14.756431432865279</v>
      </c>
    </row>
    <row r="59" spans="1:5" x14ac:dyDescent="0.25">
      <c r="A59" s="6" t="s">
        <v>105</v>
      </c>
      <c r="B59" s="8">
        <v>12.70403854413594</v>
      </c>
      <c r="C59" s="8">
        <v>1.0626964327929069</v>
      </c>
      <c r="D59" s="8">
        <v>10.621153535861843</v>
      </c>
      <c r="E59" s="8">
        <v>14.786923552410038</v>
      </c>
    </row>
    <row r="60" spans="1:5" x14ac:dyDescent="0.25">
      <c r="A60" s="9" t="s">
        <v>17</v>
      </c>
      <c r="B60" s="8">
        <v>12.517338509517215</v>
      </c>
      <c r="C60" s="8">
        <v>1.0467186620422628</v>
      </c>
      <c r="D60" s="8">
        <v>10.46576993191438</v>
      </c>
      <c r="E60" s="8">
        <v>14.568907087120049</v>
      </c>
    </row>
    <row r="61" spans="1:5" x14ac:dyDescent="0.25">
      <c r="A61" s="9" t="s">
        <v>18</v>
      </c>
      <c r="B61" s="8">
        <v>0.1944791290163588</v>
      </c>
      <c r="C61" s="8">
        <v>0.19081709693567461</v>
      </c>
      <c r="D61" s="8">
        <v>0</v>
      </c>
      <c r="E61" s="8">
        <v>0.56848063901028101</v>
      </c>
    </row>
    <row r="62" spans="1:5" x14ac:dyDescent="0.25">
      <c r="A62" t="s">
        <v>41</v>
      </c>
      <c r="B62" s="8">
        <v>43.802723625225909</v>
      </c>
      <c r="C62" s="8">
        <v>2.6298567168031886</v>
      </c>
      <c r="D62" s="8">
        <v>38.648204460291659</v>
      </c>
      <c r="E62" s="8">
        <v>48.957242790160159</v>
      </c>
    </row>
    <row r="63" spans="1:5" x14ac:dyDescent="0.25">
      <c r="A63" t="s">
        <v>106</v>
      </c>
      <c r="B63" s="8">
        <v>23.607001047363109</v>
      </c>
      <c r="C63" s="8">
        <v>2.1319283496780224</v>
      </c>
      <c r="D63" s="8">
        <v>19.428421481994185</v>
      </c>
      <c r="E63" s="8">
        <v>27.785580612732034</v>
      </c>
    </row>
    <row r="64" spans="1:5" x14ac:dyDescent="0.25">
      <c r="A64" t="s">
        <v>22</v>
      </c>
      <c r="B64" s="8">
        <v>50.92949435245383</v>
      </c>
      <c r="C64" s="8">
        <v>2.1229128949172633</v>
      </c>
      <c r="D64" s="8">
        <v>46.768585078415995</v>
      </c>
      <c r="E64" s="8">
        <v>55.090403626491664</v>
      </c>
    </row>
    <row r="65" spans="1:5" x14ac:dyDescent="0.25">
      <c r="A65" t="s">
        <v>42</v>
      </c>
      <c r="B65" s="8">
        <v>68.779808253338643</v>
      </c>
      <c r="C65" s="8">
        <v>2.2971737370719194</v>
      </c>
      <c r="D65" s="8">
        <v>64.277347728677682</v>
      </c>
      <c r="E65" s="8">
        <v>73.282268777999604</v>
      </c>
    </row>
    <row r="66" spans="1:5" x14ac:dyDescent="0.25">
      <c r="A66" t="s">
        <v>21</v>
      </c>
      <c r="B66" s="8">
        <v>31.220191746661349</v>
      </c>
      <c r="C66" s="8">
        <v>2.2969015845866974</v>
      </c>
      <c r="D66" s="8">
        <v>26.718264640871425</v>
      </c>
      <c r="E66" s="8">
        <v>35.722118852451274</v>
      </c>
    </row>
  </sheetData>
  <mergeCells count="13">
    <mergeCell ref="V2:W2"/>
    <mergeCell ref="D2:E2"/>
    <mergeCell ref="D25:E25"/>
    <mergeCell ref="D47:E47"/>
    <mergeCell ref="J2:K2"/>
    <mergeCell ref="P2:Q2"/>
    <mergeCell ref="BL2:BM2"/>
    <mergeCell ref="AB2:AC2"/>
    <mergeCell ref="AH2:AI2"/>
    <mergeCell ref="AN2:AO2"/>
    <mergeCell ref="AT2:AU2"/>
    <mergeCell ref="AZ2:BA2"/>
    <mergeCell ref="BF2:B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FD722-7589-4BCB-9313-84D889467A26}">
  <dimension ref="A1:BS65"/>
  <sheetViews>
    <sheetView workbookViewId="0">
      <selection activeCell="G23" sqref="G23:H41"/>
    </sheetView>
  </sheetViews>
  <sheetFormatPr defaultRowHeight="15" x14ac:dyDescent="0.25"/>
  <sheetData>
    <row r="1" spans="1:71" x14ac:dyDescent="0.25">
      <c r="A1" s="5" t="s">
        <v>125</v>
      </c>
      <c r="G1" t="s">
        <v>128</v>
      </c>
      <c r="I1" t="s">
        <v>110</v>
      </c>
      <c r="M1" s="12" t="s">
        <v>129</v>
      </c>
      <c r="O1" s="12" t="s">
        <v>110</v>
      </c>
      <c r="S1" s="12" t="s">
        <v>130</v>
      </c>
      <c r="U1" s="12" t="s">
        <v>110</v>
      </c>
      <c r="Y1" s="12" t="s">
        <v>131</v>
      </c>
      <c r="AA1" s="12" t="s">
        <v>110</v>
      </c>
      <c r="AE1" s="12" t="s">
        <v>132</v>
      </c>
      <c r="AG1" s="12" t="s">
        <v>110</v>
      </c>
      <c r="AK1" s="12" t="s">
        <v>133</v>
      </c>
      <c r="AM1" s="12" t="s">
        <v>110</v>
      </c>
      <c r="AQ1" s="12" t="s">
        <v>134</v>
      </c>
      <c r="AS1" s="12" t="s">
        <v>110</v>
      </c>
      <c r="AW1" s="12" t="s">
        <v>135</v>
      </c>
      <c r="AY1" s="12" t="s">
        <v>110</v>
      </c>
      <c r="BC1" s="12" t="s">
        <v>136</v>
      </c>
      <c r="BE1" s="12" t="s">
        <v>110</v>
      </c>
      <c r="BI1" s="12" t="s">
        <v>137</v>
      </c>
      <c r="BK1" s="12" t="s">
        <v>110</v>
      </c>
      <c r="BO1" s="12" t="s">
        <v>138</v>
      </c>
      <c r="BQ1" s="12" t="s">
        <v>110</v>
      </c>
    </row>
    <row r="2" spans="1:71" x14ac:dyDescent="0.25">
      <c r="A2" t="s">
        <v>64</v>
      </c>
      <c r="B2" s="6" t="s">
        <v>73</v>
      </c>
      <c r="C2" s="6" t="s">
        <v>34</v>
      </c>
      <c r="D2" s="14" t="s">
        <v>35</v>
      </c>
      <c r="E2" s="14"/>
      <c r="G2" t="s">
        <v>64</v>
      </c>
      <c r="H2" t="s">
        <v>65</v>
      </c>
      <c r="I2" t="s">
        <v>34</v>
      </c>
      <c r="J2" s="14" t="s">
        <v>111</v>
      </c>
      <c r="K2" s="14"/>
      <c r="M2" t="s">
        <v>64</v>
      </c>
      <c r="N2" t="s">
        <v>65</v>
      </c>
      <c r="O2" t="s">
        <v>34</v>
      </c>
      <c r="P2" s="14" t="s">
        <v>111</v>
      </c>
      <c r="Q2" s="14"/>
      <c r="S2" t="s">
        <v>64</v>
      </c>
      <c r="T2" t="s">
        <v>65</v>
      </c>
      <c r="U2" t="s">
        <v>34</v>
      </c>
      <c r="V2" s="14" t="s">
        <v>111</v>
      </c>
      <c r="W2" s="14"/>
      <c r="Y2" t="s">
        <v>64</v>
      </c>
      <c r="Z2" t="s">
        <v>65</v>
      </c>
      <c r="AA2" t="s">
        <v>34</v>
      </c>
      <c r="AB2" s="14" t="s">
        <v>111</v>
      </c>
      <c r="AC2" s="14"/>
      <c r="AE2" t="s">
        <v>64</v>
      </c>
      <c r="AF2" t="s">
        <v>65</v>
      </c>
      <c r="AG2" t="s">
        <v>34</v>
      </c>
      <c r="AH2" s="14" t="s">
        <v>111</v>
      </c>
      <c r="AI2" s="14"/>
      <c r="AK2" t="s">
        <v>64</v>
      </c>
      <c r="AL2" t="s">
        <v>65</v>
      </c>
      <c r="AM2" t="s">
        <v>34</v>
      </c>
      <c r="AN2" s="14" t="s">
        <v>111</v>
      </c>
      <c r="AO2" s="14"/>
      <c r="AQ2" t="s">
        <v>64</v>
      </c>
      <c r="AR2" t="s">
        <v>65</v>
      </c>
      <c r="AS2" t="s">
        <v>34</v>
      </c>
      <c r="AT2" s="14" t="s">
        <v>111</v>
      </c>
      <c r="AU2" s="14"/>
      <c r="AW2" t="s">
        <v>64</v>
      </c>
      <c r="AX2" t="s">
        <v>65</v>
      </c>
      <c r="AY2" t="s">
        <v>34</v>
      </c>
      <c r="AZ2" s="14" t="s">
        <v>111</v>
      </c>
      <c r="BA2" s="14"/>
      <c r="BC2" t="s">
        <v>64</v>
      </c>
      <c r="BD2" t="s">
        <v>65</v>
      </c>
      <c r="BE2" t="s">
        <v>34</v>
      </c>
      <c r="BF2" s="14" t="s">
        <v>111</v>
      </c>
      <c r="BG2" s="14"/>
      <c r="BI2" t="s">
        <v>64</v>
      </c>
      <c r="BJ2" t="s">
        <v>65</v>
      </c>
      <c r="BK2" t="s">
        <v>34</v>
      </c>
      <c r="BL2" s="14" t="s">
        <v>111</v>
      </c>
      <c r="BM2" s="14"/>
      <c r="BO2" t="s">
        <v>64</v>
      </c>
      <c r="BP2" t="s">
        <v>65</v>
      </c>
      <c r="BQ2" t="s">
        <v>34</v>
      </c>
      <c r="BR2" s="14" t="s">
        <v>111</v>
      </c>
      <c r="BS2" s="14"/>
    </row>
    <row r="3" spans="1:71" x14ac:dyDescent="0.25">
      <c r="A3" t="s">
        <v>9</v>
      </c>
      <c r="B3" s="8">
        <v>74.388106094340927</v>
      </c>
      <c r="C3" s="8">
        <v>0.58910939577253019</v>
      </c>
      <c r="D3" s="8">
        <v>73.233451678626764</v>
      </c>
      <c r="E3" s="8">
        <v>75.542760510055089</v>
      </c>
      <c r="G3" t="s">
        <v>9</v>
      </c>
      <c r="H3" s="10">
        <v>99.551000000000002</v>
      </c>
      <c r="I3" s="10">
        <v>0.58599999999999997</v>
      </c>
      <c r="J3" s="10">
        <v>97.9</v>
      </c>
      <c r="K3" s="10">
        <v>100</v>
      </c>
      <c r="M3" t="s">
        <v>9</v>
      </c>
      <c r="N3" s="10">
        <v>98.85</v>
      </c>
      <c r="O3" s="10">
        <v>1.19</v>
      </c>
      <c r="P3" s="10">
        <v>95.8</v>
      </c>
      <c r="Q3" s="10">
        <v>100</v>
      </c>
      <c r="S3" t="s">
        <v>9</v>
      </c>
      <c r="T3" s="10">
        <v>99.141999999999996</v>
      </c>
      <c r="U3" s="10">
        <v>1.034</v>
      </c>
      <c r="V3" s="10">
        <v>96.3</v>
      </c>
      <c r="W3" s="10">
        <v>100</v>
      </c>
      <c r="Y3" t="s">
        <v>9</v>
      </c>
      <c r="Z3">
        <v>99.174000000000007</v>
      </c>
      <c r="AA3">
        <v>1.022</v>
      </c>
      <c r="AB3">
        <v>96.3</v>
      </c>
      <c r="AC3">
        <v>100</v>
      </c>
      <c r="AE3" t="s">
        <v>9</v>
      </c>
      <c r="AF3" s="10">
        <v>95.253</v>
      </c>
      <c r="AG3" s="10">
        <v>2.96</v>
      </c>
      <c r="AH3" s="10">
        <v>88.4</v>
      </c>
      <c r="AI3" s="10">
        <v>99.7</v>
      </c>
      <c r="AK3" t="s">
        <v>9</v>
      </c>
      <c r="AL3" s="10">
        <v>88.387</v>
      </c>
      <c r="AM3" s="10">
        <v>2.9039999999999999</v>
      </c>
      <c r="AN3" s="10">
        <v>82.5</v>
      </c>
      <c r="AO3" s="10">
        <v>93.7</v>
      </c>
      <c r="AQ3" t="s">
        <v>9</v>
      </c>
      <c r="AR3" s="10">
        <v>78.004999999999995</v>
      </c>
      <c r="AS3" s="10">
        <v>3.7559999999999998</v>
      </c>
      <c r="AT3" s="10">
        <v>70.2</v>
      </c>
      <c r="AU3" s="10">
        <v>84.8</v>
      </c>
      <c r="AW3" t="s">
        <v>9</v>
      </c>
      <c r="AX3" s="10">
        <v>14.554</v>
      </c>
      <c r="AY3" s="10">
        <v>2.9180000000000001</v>
      </c>
      <c r="AZ3" s="10">
        <v>9.3000000000000007</v>
      </c>
      <c r="BA3" s="10">
        <v>20.8</v>
      </c>
      <c r="BC3" t="s">
        <v>9</v>
      </c>
      <c r="BD3" s="10">
        <v>4.2869999999999999</v>
      </c>
      <c r="BE3" s="10">
        <v>2.629</v>
      </c>
      <c r="BF3" s="10">
        <v>0.5</v>
      </c>
      <c r="BG3" s="10">
        <v>10.3</v>
      </c>
      <c r="BI3" t="s">
        <v>9</v>
      </c>
      <c r="BJ3" s="10">
        <v>2.218</v>
      </c>
      <c r="BK3" s="10">
        <v>2.7120000000000002</v>
      </c>
      <c r="BL3" s="10">
        <v>0</v>
      </c>
      <c r="BM3" s="10">
        <v>9.4</v>
      </c>
      <c r="BO3" t="s">
        <v>9</v>
      </c>
      <c r="BP3" s="10">
        <v>3.613</v>
      </c>
      <c r="BQ3" s="10">
        <v>1.6359999999999999</v>
      </c>
      <c r="BR3" s="10">
        <v>1.1000000000000001</v>
      </c>
      <c r="BS3" s="10">
        <v>7.4</v>
      </c>
    </row>
    <row r="4" spans="1:71" x14ac:dyDescent="0.25">
      <c r="A4" s="6" t="s">
        <v>10</v>
      </c>
      <c r="B4" s="8">
        <v>62.543504370575192</v>
      </c>
      <c r="C4" s="8">
        <v>1.9900284241020292</v>
      </c>
      <c r="D4" s="8">
        <v>58.643048659335214</v>
      </c>
      <c r="E4" s="8">
        <v>66.443960081815163</v>
      </c>
      <c r="G4" s="6" t="s">
        <v>10</v>
      </c>
      <c r="H4" s="10">
        <v>81.744</v>
      </c>
      <c r="I4" s="10">
        <v>5.649</v>
      </c>
      <c r="J4" s="10">
        <v>69.2</v>
      </c>
      <c r="K4" s="10">
        <v>91.6</v>
      </c>
      <c r="M4" s="6" t="s">
        <v>10</v>
      </c>
      <c r="N4" s="10">
        <v>87.673000000000002</v>
      </c>
      <c r="O4" s="10">
        <v>6.6429999999999998</v>
      </c>
      <c r="P4" s="10">
        <v>75.400000000000006</v>
      </c>
      <c r="Q4" s="10">
        <v>98.5</v>
      </c>
      <c r="S4" s="6" t="s">
        <v>10</v>
      </c>
      <c r="T4" s="10">
        <v>90.977999999999994</v>
      </c>
      <c r="U4" s="10">
        <v>5.2619999999999996</v>
      </c>
      <c r="V4" s="10">
        <v>79.599999999999994</v>
      </c>
      <c r="W4" s="10">
        <v>99.2</v>
      </c>
      <c r="Y4" s="6" t="s">
        <v>10</v>
      </c>
      <c r="Z4">
        <v>84.016999999999996</v>
      </c>
      <c r="AA4">
        <v>5.0309999999999997</v>
      </c>
      <c r="AB4">
        <v>73.3</v>
      </c>
      <c r="AC4">
        <v>92.8</v>
      </c>
      <c r="AE4" s="6" t="s">
        <v>10</v>
      </c>
      <c r="AF4" s="10">
        <v>68.509</v>
      </c>
      <c r="AG4" s="10">
        <v>5.9989999999999997</v>
      </c>
      <c r="AH4" s="10">
        <v>56.9</v>
      </c>
      <c r="AI4" s="10">
        <v>80.400000000000006</v>
      </c>
      <c r="AK4" s="6" t="s">
        <v>10</v>
      </c>
      <c r="AL4" s="10">
        <v>65.266999999999996</v>
      </c>
      <c r="AM4" s="10">
        <v>6.0449999999999999</v>
      </c>
      <c r="AN4" s="10">
        <v>53.1</v>
      </c>
      <c r="AO4" s="10">
        <v>76.599999999999994</v>
      </c>
      <c r="AQ4" s="6" t="s">
        <v>10</v>
      </c>
      <c r="AR4" s="10">
        <v>47.542999999999999</v>
      </c>
      <c r="AS4" s="10">
        <v>5.5</v>
      </c>
      <c r="AT4" s="10">
        <v>36.497999999999998</v>
      </c>
      <c r="AU4" s="10">
        <v>57.8</v>
      </c>
      <c r="AW4" s="6" t="s">
        <v>10</v>
      </c>
      <c r="AX4" s="10">
        <v>7.431</v>
      </c>
      <c r="AY4" s="10">
        <v>2.2869999999999999</v>
      </c>
      <c r="AZ4" s="10">
        <v>3.3</v>
      </c>
      <c r="BA4" s="10">
        <v>12.2</v>
      </c>
      <c r="BC4" s="6" t="s">
        <v>10</v>
      </c>
      <c r="BD4" s="10">
        <v>0.41199999999999998</v>
      </c>
      <c r="BE4" s="10">
        <v>0.61299999999999999</v>
      </c>
      <c r="BF4" s="10">
        <v>0</v>
      </c>
      <c r="BG4" s="10">
        <v>2.2000000000000002</v>
      </c>
      <c r="BI4" s="6" t="s">
        <v>10</v>
      </c>
      <c r="BJ4" s="10">
        <v>0.21099999999999999</v>
      </c>
      <c r="BK4" s="10">
        <v>0.4</v>
      </c>
      <c r="BL4" s="10">
        <v>0</v>
      </c>
      <c r="BM4" s="10">
        <v>1.4</v>
      </c>
      <c r="BO4" s="6" t="s">
        <v>10</v>
      </c>
      <c r="BP4" s="10">
        <v>2.996</v>
      </c>
      <c r="BQ4" s="10">
        <v>1.4119999999999999</v>
      </c>
      <c r="BR4" s="10">
        <v>0.8</v>
      </c>
      <c r="BS4" s="10">
        <v>6.2</v>
      </c>
    </row>
    <row r="5" spans="1:71" x14ac:dyDescent="0.25">
      <c r="A5" s="6" t="s">
        <v>101</v>
      </c>
      <c r="B5" s="8">
        <v>11.808370054724845</v>
      </c>
      <c r="C5" s="8">
        <v>2.0439549535510793</v>
      </c>
      <c r="D5" s="8">
        <v>7.8022183457647296</v>
      </c>
      <c r="E5" s="8">
        <v>15.814521763684962</v>
      </c>
      <c r="G5" s="6" t="s">
        <v>101</v>
      </c>
      <c r="H5" s="10">
        <v>17.744</v>
      </c>
      <c r="I5" s="10">
        <v>5.6340000000000003</v>
      </c>
      <c r="J5" s="10">
        <v>8</v>
      </c>
      <c r="K5" s="10">
        <v>30.4</v>
      </c>
      <c r="M5" s="6" t="s">
        <v>101</v>
      </c>
      <c r="N5" s="10">
        <v>11.115</v>
      </c>
      <c r="O5" s="10">
        <v>6.7919999999999998</v>
      </c>
      <c r="P5" s="10">
        <v>0.1</v>
      </c>
      <c r="Q5" s="10">
        <v>23.9</v>
      </c>
      <c r="S5" s="6" t="s">
        <v>101</v>
      </c>
      <c r="T5" s="10">
        <v>8.0990000000000002</v>
      </c>
      <c r="U5" s="10">
        <v>5.38</v>
      </c>
      <c r="V5" s="10">
        <v>0.1</v>
      </c>
      <c r="W5" s="10">
        <v>19.8</v>
      </c>
      <c r="Y5" s="6" t="s">
        <v>101</v>
      </c>
      <c r="Z5">
        <v>15.106999999999999</v>
      </c>
      <c r="AA5">
        <v>5.0780000000000003</v>
      </c>
      <c r="AB5">
        <v>6.4</v>
      </c>
      <c r="AC5">
        <v>26</v>
      </c>
      <c r="AE5" s="6" t="s">
        <v>101</v>
      </c>
      <c r="AF5" s="10">
        <v>26.728000000000002</v>
      </c>
      <c r="AG5" s="10">
        <v>6.4029999999999996</v>
      </c>
      <c r="AH5" s="10">
        <v>14.6</v>
      </c>
      <c r="AI5" s="10">
        <v>39.299999999999997</v>
      </c>
      <c r="AK5" s="6" t="s">
        <v>101</v>
      </c>
      <c r="AL5" s="10">
        <v>23.12</v>
      </c>
      <c r="AM5" s="10">
        <v>6.2670000000000003</v>
      </c>
      <c r="AN5" s="10">
        <v>11.6</v>
      </c>
      <c r="AO5" s="10">
        <v>35.799999999999997</v>
      </c>
      <c r="AQ5" s="6" t="s">
        <v>101</v>
      </c>
      <c r="AR5" s="10">
        <v>30.449000000000002</v>
      </c>
      <c r="AS5" s="10">
        <v>6.1559999999999997</v>
      </c>
      <c r="AT5" s="10">
        <v>18.600000000000001</v>
      </c>
      <c r="AU5" s="10">
        <v>42.7</v>
      </c>
      <c r="AW5" s="6" t="s">
        <v>101</v>
      </c>
      <c r="AX5" s="10">
        <v>7.117</v>
      </c>
      <c r="AY5" s="10">
        <v>2.722</v>
      </c>
      <c r="AZ5" s="10">
        <v>2.5</v>
      </c>
      <c r="BA5" s="10">
        <v>13</v>
      </c>
      <c r="BC5" s="6" t="s">
        <v>101</v>
      </c>
      <c r="BD5" s="10">
        <v>3.8809999999999998</v>
      </c>
      <c r="BE5" s="10">
        <v>2.6859999999999999</v>
      </c>
      <c r="BF5" s="10">
        <v>0</v>
      </c>
      <c r="BG5" s="10">
        <v>9.9</v>
      </c>
      <c r="BI5" s="6" t="s">
        <v>101</v>
      </c>
      <c r="BJ5" s="10">
        <v>2.0219999999999998</v>
      </c>
      <c r="BK5" s="10">
        <v>2.6829999999999998</v>
      </c>
      <c r="BL5" s="10">
        <v>0</v>
      </c>
      <c r="BM5" s="10">
        <v>9.1999999999999993</v>
      </c>
      <c r="BO5" s="6" t="s">
        <v>101</v>
      </c>
      <c r="BP5" s="10">
        <v>0.622</v>
      </c>
      <c r="BQ5" s="10">
        <v>1.042</v>
      </c>
      <c r="BR5" s="10">
        <v>0</v>
      </c>
      <c r="BS5" s="10">
        <v>3.6</v>
      </c>
    </row>
    <row r="6" spans="1:71" x14ac:dyDescent="0.25">
      <c r="A6" s="9" t="s">
        <v>126</v>
      </c>
      <c r="B6" s="8">
        <v>9.1986740046263584</v>
      </c>
      <c r="C6" s="8">
        <v>2.0824819665286376</v>
      </c>
      <c r="D6" s="8">
        <v>5.1170093502302292</v>
      </c>
      <c r="E6" s="8">
        <v>13.280338659022487</v>
      </c>
      <c r="G6" s="9" t="s">
        <v>126</v>
      </c>
      <c r="H6" s="10">
        <v>17.606000000000002</v>
      </c>
      <c r="I6" s="10">
        <v>5.6379999999999999</v>
      </c>
      <c r="J6" s="10">
        <v>7.8</v>
      </c>
      <c r="K6" s="10">
        <v>30.3</v>
      </c>
      <c r="M6" s="9" t="s">
        <v>126</v>
      </c>
      <c r="N6" s="10">
        <v>10.927</v>
      </c>
      <c r="O6" s="10">
        <v>6.8040000000000003</v>
      </c>
      <c r="P6" s="10">
        <v>0.1</v>
      </c>
      <c r="Q6" s="10">
        <v>23.8</v>
      </c>
      <c r="S6" s="9" t="s">
        <v>126</v>
      </c>
      <c r="T6" s="10">
        <v>7.7480000000000002</v>
      </c>
      <c r="U6" s="10">
        <v>5.399</v>
      </c>
      <c r="V6" s="10">
        <v>0</v>
      </c>
      <c r="W6" s="10">
        <v>19.602</v>
      </c>
      <c r="Y6" s="9" t="s">
        <v>126</v>
      </c>
      <c r="Z6">
        <v>11.725</v>
      </c>
      <c r="AA6">
        <v>5.3040000000000003</v>
      </c>
      <c r="AB6">
        <v>2.5</v>
      </c>
      <c r="AC6">
        <v>23</v>
      </c>
      <c r="AE6" s="9" t="s">
        <v>126</v>
      </c>
      <c r="AF6" s="10">
        <v>19.315999999999999</v>
      </c>
      <c r="AG6" s="10">
        <v>7.1219999999999999</v>
      </c>
      <c r="AH6" s="10">
        <v>6.3</v>
      </c>
      <c r="AI6" s="10">
        <v>33.700000000000003</v>
      </c>
      <c r="AK6" s="9" t="s">
        <v>126</v>
      </c>
      <c r="AL6" s="10">
        <v>13.316000000000001</v>
      </c>
      <c r="AM6" s="10">
        <v>6.7080000000000002</v>
      </c>
      <c r="AN6" s="10">
        <v>0.2</v>
      </c>
      <c r="AO6" s="10">
        <v>27.4</v>
      </c>
      <c r="AQ6" s="9" t="s">
        <v>126</v>
      </c>
      <c r="AR6" s="10">
        <v>29.206</v>
      </c>
      <c r="AS6" s="10">
        <v>6.6109999999999998</v>
      </c>
      <c r="AT6" s="10">
        <v>16.297999999999998</v>
      </c>
      <c r="AU6" s="10">
        <v>42.3</v>
      </c>
      <c r="AW6" s="9" t="s">
        <v>126</v>
      </c>
      <c r="AX6" s="10">
        <v>1.3</v>
      </c>
      <c r="AY6" s="10">
        <v>1.758</v>
      </c>
      <c r="AZ6" s="10">
        <v>0</v>
      </c>
      <c r="BA6" s="10">
        <v>5.9020000000000001</v>
      </c>
      <c r="BC6" s="9" t="s">
        <v>126</v>
      </c>
      <c r="BD6" s="10">
        <v>2.0590000000000002</v>
      </c>
      <c r="BE6" s="10">
        <v>1.7390000000000001</v>
      </c>
      <c r="BF6" s="10">
        <v>0</v>
      </c>
      <c r="BG6" s="10">
        <v>6.2</v>
      </c>
      <c r="BI6" s="9" t="s">
        <v>126</v>
      </c>
      <c r="BJ6" s="10">
        <v>1.883</v>
      </c>
      <c r="BK6" s="10">
        <v>2.6629999999999998</v>
      </c>
      <c r="BL6" s="10">
        <v>0</v>
      </c>
      <c r="BM6" s="10">
        <v>9.1</v>
      </c>
      <c r="BO6" s="9" t="s">
        <v>126</v>
      </c>
      <c r="BP6" s="10">
        <v>0.47199999999999998</v>
      </c>
      <c r="BQ6" s="10">
        <v>0.93200000000000005</v>
      </c>
      <c r="BR6" s="10">
        <v>0</v>
      </c>
      <c r="BS6" s="10">
        <v>3.3</v>
      </c>
    </row>
    <row r="7" spans="1:71" x14ac:dyDescent="0.25">
      <c r="A7" s="9" t="s">
        <v>103</v>
      </c>
      <c r="B7" s="8">
        <v>2.6086009416350699</v>
      </c>
      <c r="C7" s="8">
        <v>0.82319736455655967</v>
      </c>
      <c r="D7" s="8">
        <v>0.99513410710421302</v>
      </c>
      <c r="E7" s="8">
        <v>4.2220677761659271</v>
      </c>
      <c r="G7" s="9" t="s">
        <v>103</v>
      </c>
      <c r="H7" s="10">
        <v>0.13400000000000001</v>
      </c>
      <c r="I7" s="10">
        <v>0.38800000000000001</v>
      </c>
      <c r="J7" s="10">
        <v>0</v>
      </c>
      <c r="K7" s="10">
        <v>1.3</v>
      </c>
      <c r="M7" s="9" t="s">
        <v>103</v>
      </c>
      <c r="N7" s="10">
        <v>0.191</v>
      </c>
      <c r="O7" s="10">
        <v>0.53500000000000003</v>
      </c>
      <c r="P7" s="10">
        <v>0</v>
      </c>
      <c r="Q7" s="10">
        <v>1.9</v>
      </c>
      <c r="S7" s="9" t="s">
        <v>103</v>
      </c>
      <c r="T7" s="10">
        <v>0.35399999999999998</v>
      </c>
      <c r="U7" s="10">
        <v>0.93799999999999994</v>
      </c>
      <c r="V7" s="10">
        <v>0</v>
      </c>
      <c r="W7" s="10">
        <v>3.4</v>
      </c>
      <c r="Y7" s="9" t="s">
        <v>103</v>
      </c>
      <c r="Z7">
        <v>3.3690000000000002</v>
      </c>
      <c r="AA7">
        <v>2.7959999999999998</v>
      </c>
      <c r="AB7">
        <v>0</v>
      </c>
      <c r="AC7">
        <v>9.1999999999999993</v>
      </c>
      <c r="AE7" s="9" t="s">
        <v>103</v>
      </c>
      <c r="AF7" s="10">
        <v>7.4009999999999998</v>
      </c>
      <c r="AG7" s="10">
        <v>3.9849999999999999</v>
      </c>
      <c r="AH7" s="10">
        <v>0</v>
      </c>
      <c r="AI7" s="10">
        <v>15.3</v>
      </c>
      <c r="AK7" s="9" t="s">
        <v>103</v>
      </c>
      <c r="AL7" s="10">
        <v>9.7989999999999995</v>
      </c>
      <c r="AM7" s="10">
        <v>3.5910000000000002</v>
      </c>
      <c r="AN7" s="10">
        <v>2.1</v>
      </c>
      <c r="AO7" s="10">
        <v>16.899999999999999</v>
      </c>
      <c r="AQ7" s="9" t="s">
        <v>103</v>
      </c>
      <c r="AR7" s="10">
        <v>1.2470000000000001</v>
      </c>
      <c r="AS7" s="10">
        <v>2.3149999999999999</v>
      </c>
      <c r="AT7" s="10">
        <v>0</v>
      </c>
      <c r="AU7" s="10">
        <v>8.1999999999999993</v>
      </c>
      <c r="AW7" s="9" t="s">
        <v>103</v>
      </c>
      <c r="AX7" s="10">
        <v>5.8209999999999997</v>
      </c>
      <c r="AY7" s="10">
        <v>2.5070000000000001</v>
      </c>
      <c r="AZ7" s="10">
        <v>1.6</v>
      </c>
      <c r="BA7" s="10">
        <v>11.3</v>
      </c>
      <c r="BC7" s="9" t="s">
        <v>103</v>
      </c>
      <c r="BD7" s="10">
        <v>1.825</v>
      </c>
      <c r="BE7" s="10">
        <v>2.37</v>
      </c>
      <c r="BF7" s="10">
        <v>0</v>
      </c>
      <c r="BG7" s="10">
        <v>7.9</v>
      </c>
      <c r="BI7" s="9" t="s">
        <v>103</v>
      </c>
      <c r="BJ7" s="10">
        <v>0.151</v>
      </c>
      <c r="BK7" s="10">
        <v>0.46200000000000002</v>
      </c>
      <c r="BL7" s="10">
        <v>0</v>
      </c>
      <c r="BM7" s="10">
        <v>1.5</v>
      </c>
      <c r="BO7" s="9" t="s">
        <v>103</v>
      </c>
      <c r="BP7" s="10">
        <v>0.16300000000000001</v>
      </c>
      <c r="BQ7" s="10">
        <v>0.48699999999999999</v>
      </c>
      <c r="BR7" s="10">
        <v>0</v>
      </c>
      <c r="BS7" s="10">
        <v>1.7</v>
      </c>
    </row>
    <row r="8" spans="1:71" x14ac:dyDescent="0.25">
      <c r="A8" t="s">
        <v>11</v>
      </c>
      <c r="B8" s="8">
        <v>25.611893905659091</v>
      </c>
      <c r="C8" s="8">
        <v>0.58900117493734305</v>
      </c>
      <c r="D8" s="8">
        <v>24.457451602781898</v>
      </c>
      <c r="E8" s="8">
        <v>26.766336208536284</v>
      </c>
      <c r="G8" t="s">
        <v>11</v>
      </c>
      <c r="H8" s="10">
        <v>0.44900000000000001</v>
      </c>
      <c r="I8" s="10">
        <v>0.58599999999999997</v>
      </c>
      <c r="J8" s="10">
        <v>0</v>
      </c>
      <c r="K8" s="10">
        <v>2.1</v>
      </c>
      <c r="M8" t="s">
        <v>11</v>
      </c>
      <c r="N8" s="10">
        <v>1.1499999999999999</v>
      </c>
      <c r="O8" s="10">
        <v>1.1910000000000001</v>
      </c>
      <c r="P8" s="10">
        <v>0</v>
      </c>
      <c r="Q8" s="10">
        <v>4.2</v>
      </c>
      <c r="S8" t="s">
        <v>11</v>
      </c>
      <c r="T8" s="10">
        <v>0.85799999999999998</v>
      </c>
      <c r="U8" s="10">
        <v>1.034</v>
      </c>
      <c r="V8" s="10">
        <v>0</v>
      </c>
      <c r="W8" s="10">
        <v>3.7</v>
      </c>
      <c r="Y8" t="s">
        <v>11</v>
      </c>
      <c r="Z8">
        <v>0.82599999999999996</v>
      </c>
      <c r="AA8">
        <v>1.0209999999999999</v>
      </c>
      <c r="AB8">
        <v>0</v>
      </c>
      <c r="AC8">
        <v>3.7</v>
      </c>
      <c r="AE8" t="s">
        <v>11</v>
      </c>
      <c r="AF8" s="10">
        <v>4.7469999999999999</v>
      </c>
      <c r="AG8" s="10">
        <v>2.9590000000000001</v>
      </c>
      <c r="AH8" s="10">
        <v>0.3</v>
      </c>
      <c r="AI8" s="10">
        <v>11.6</v>
      </c>
      <c r="AK8" t="s">
        <v>11</v>
      </c>
      <c r="AL8" s="10">
        <v>11.613</v>
      </c>
      <c r="AM8" s="10">
        <v>2.9049999999999998</v>
      </c>
      <c r="AN8" s="10">
        <v>6.298</v>
      </c>
      <c r="AO8" s="10">
        <v>17.5</v>
      </c>
      <c r="AQ8" t="s">
        <v>11</v>
      </c>
      <c r="AR8" s="10">
        <v>21.995000000000001</v>
      </c>
      <c r="AS8" s="10">
        <v>3.7559999999999998</v>
      </c>
      <c r="AT8" s="10">
        <v>15.2</v>
      </c>
      <c r="AU8" s="10">
        <v>29.8</v>
      </c>
      <c r="AW8" t="s">
        <v>11</v>
      </c>
      <c r="AX8" s="10">
        <v>85.445999999999998</v>
      </c>
      <c r="AY8" s="10">
        <v>2.9180000000000001</v>
      </c>
      <c r="AZ8" s="10">
        <v>79.197999999999993</v>
      </c>
      <c r="BA8" s="10">
        <v>90.7</v>
      </c>
      <c r="BC8" t="s">
        <v>11</v>
      </c>
      <c r="BD8" s="10">
        <v>95.712999999999994</v>
      </c>
      <c r="BE8" s="10">
        <v>2.629</v>
      </c>
      <c r="BF8" s="10">
        <v>89.7</v>
      </c>
      <c r="BG8" s="10">
        <v>99.5</v>
      </c>
      <c r="BI8" t="s">
        <v>11</v>
      </c>
      <c r="BJ8" s="10">
        <v>97.781999999999996</v>
      </c>
      <c r="BK8" s="10">
        <v>2.7120000000000002</v>
      </c>
      <c r="BL8" s="10">
        <v>90.5</v>
      </c>
      <c r="BM8" s="10">
        <v>100</v>
      </c>
      <c r="BO8" t="s">
        <v>11</v>
      </c>
      <c r="BP8" s="10">
        <v>96.387</v>
      </c>
      <c r="BQ8" s="10">
        <v>1.635</v>
      </c>
      <c r="BR8" s="10">
        <v>92.6</v>
      </c>
      <c r="BS8" s="10">
        <v>98.9</v>
      </c>
    </row>
    <row r="9" spans="1:71" x14ac:dyDescent="0.25">
      <c r="A9" s="6" t="s">
        <v>103</v>
      </c>
      <c r="B9" s="8">
        <v>4.1818322963655428</v>
      </c>
      <c r="C9" s="8">
        <v>0.55107402299123243</v>
      </c>
      <c r="D9" s="8">
        <v>3.1017272113027272</v>
      </c>
      <c r="E9" s="8">
        <v>5.2619373814283588</v>
      </c>
      <c r="G9" s="6" t="s">
        <v>103</v>
      </c>
      <c r="H9" s="10">
        <v>0.11</v>
      </c>
      <c r="I9" s="10">
        <v>0.27500000000000002</v>
      </c>
      <c r="J9" s="10">
        <v>0</v>
      </c>
      <c r="K9" s="10">
        <v>0.9</v>
      </c>
      <c r="M9" s="6" t="s">
        <v>103</v>
      </c>
      <c r="N9" s="10">
        <v>0.80900000000000005</v>
      </c>
      <c r="O9" s="10">
        <v>1.0780000000000001</v>
      </c>
      <c r="P9" s="10">
        <v>0</v>
      </c>
      <c r="Q9" s="10">
        <v>3.7</v>
      </c>
      <c r="S9" s="6" t="s">
        <v>103</v>
      </c>
      <c r="T9" s="10">
        <v>0.53300000000000003</v>
      </c>
      <c r="U9" s="10">
        <v>0.90400000000000003</v>
      </c>
      <c r="V9" s="10">
        <v>0</v>
      </c>
      <c r="W9" s="10">
        <v>3.1</v>
      </c>
      <c r="Y9" s="6" t="s">
        <v>103</v>
      </c>
      <c r="Z9">
        <v>0.43</v>
      </c>
      <c r="AA9">
        <v>0.84699999999999998</v>
      </c>
      <c r="AB9">
        <v>0</v>
      </c>
      <c r="AC9">
        <v>3.1</v>
      </c>
      <c r="AE9" s="6" t="s">
        <v>103</v>
      </c>
      <c r="AF9" s="10">
        <v>1.4570000000000001</v>
      </c>
      <c r="AG9" s="10">
        <v>2.1840000000000002</v>
      </c>
      <c r="AH9" s="10">
        <v>0</v>
      </c>
      <c r="AI9" s="10">
        <v>7.5</v>
      </c>
      <c r="AK9" s="6" t="s">
        <v>103</v>
      </c>
      <c r="AL9" s="10">
        <v>0.79500000000000004</v>
      </c>
      <c r="AM9" s="10">
        <v>1.3169999999999999</v>
      </c>
      <c r="AN9" s="10">
        <v>0</v>
      </c>
      <c r="AO9" s="10">
        <v>4.7</v>
      </c>
      <c r="AQ9" s="6" t="s">
        <v>103</v>
      </c>
      <c r="AR9" s="10">
        <v>0.24299999999999999</v>
      </c>
      <c r="AS9" s="10">
        <v>0.59699999999999998</v>
      </c>
      <c r="AT9" s="10">
        <v>0</v>
      </c>
      <c r="AU9" s="10">
        <v>2.1</v>
      </c>
      <c r="AW9" s="6" t="s">
        <v>103</v>
      </c>
      <c r="AX9" s="10">
        <v>3.4590000000000001</v>
      </c>
      <c r="AY9" s="10">
        <v>2.66</v>
      </c>
      <c r="AZ9" s="10">
        <v>0</v>
      </c>
      <c r="BA9" s="10">
        <v>9.202</v>
      </c>
      <c r="BC9" s="6" t="s">
        <v>103</v>
      </c>
      <c r="BD9" s="10">
        <v>12.682</v>
      </c>
      <c r="BE9" s="10">
        <v>3.6669999999999998</v>
      </c>
      <c r="BF9" s="10">
        <v>5.9</v>
      </c>
      <c r="BG9" s="10">
        <v>20.100000000000001</v>
      </c>
      <c r="BI9" s="6" t="s">
        <v>103</v>
      </c>
      <c r="BJ9" s="10">
        <v>13.965</v>
      </c>
      <c r="BK9" s="10">
        <v>3.4750000000000001</v>
      </c>
      <c r="BL9" s="10">
        <v>7.6</v>
      </c>
      <c r="BM9" s="10">
        <v>21.1</v>
      </c>
      <c r="BO9" s="6" t="s">
        <v>103</v>
      </c>
      <c r="BP9" s="10">
        <v>23.007000000000001</v>
      </c>
      <c r="BQ9" s="10">
        <v>3.67</v>
      </c>
      <c r="BR9" s="10">
        <v>16.2</v>
      </c>
      <c r="BS9" s="10">
        <v>30.6</v>
      </c>
    </row>
    <row r="10" spans="1:71" x14ac:dyDescent="0.25">
      <c r="A10" s="6" t="s">
        <v>38</v>
      </c>
      <c r="B10" s="8">
        <v>11.305342721871343</v>
      </c>
      <c r="C10" s="8">
        <v>0.86299110208796181</v>
      </c>
      <c r="D10" s="8">
        <v>9.6138801617789369</v>
      </c>
      <c r="E10" s="8">
        <v>12.996805281963749</v>
      </c>
      <c r="G10" s="6" t="s">
        <v>38</v>
      </c>
      <c r="H10" s="10">
        <v>0.188</v>
      </c>
      <c r="I10" s="10">
        <v>0.40699999999999997</v>
      </c>
      <c r="J10" s="10">
        <v>0</v>
      </c>
      <c r="K10" s="10">
        <v>1.4</v>
      </c>
      <c r="M10" s="6" t="s">
        <v>38</v>
      </c>
      <c r="N10" s="10">
        <v>8.5999999999999993E-2</v>
      </c>
      <c r="O10" s="10">
        <v>0.192</v>
      </c>
      <c r="P10" s="10">
        <v>0</v>
      </c>
      <c r="Q10" s="10">
        <v>0.6</v>
      </c>
      <c r="S10" s="6" t="s">
        <v>38</v>
      </c>
      <c r="T10" s="10">
        <v>0.17599999999999999</v>
      </c>
      <c r="U10" s="10">
        <v>0.39200000000000002</v>
      </c>
      <c r="V10" s="10">
        <v>0</v>
      </c>
      <c r="W10" s="10">
        <v>1.4</v>
      </c>
      <c r="Y10" s="6" t="s">
        <v>38</v>
      </c>
      <c r="Z10">
        <v>0.25600000000000001</v>
      </c>
      <c r="AA10">
        <v>0.52</v>
      </c>
      <c r="AB10">
        <v>0</v>
      </c>
      <c r="AC10">
        <v>1.8</v>
      </c>
      <c r="AE10" s="6" t="s">
        <v>38</v>
      </c>
      <c r="AF10" s="10">
        <v>2.431</v>
      </c>
      <c r="AG10" s="10">
        <v>2.113</v>
      </c>
      <c r="AH10" s="10">
        <v>0</v>
      </c>
      <c r="AI10" s="10">
        <v>7.1</v>
      </c>
      <c r="AK10" s="6" t="s">
        <v>38</v>
      </c>
      <c r="AL10" s="10">
        <v>3.5049999999999999</v>
      </c>
      <c r="AM10" s="10">
        <v>2.9790000000000001</v>
      </c>
      <c r="AN10" s="10">
        <v>0</v>
      </c>
      <c r="AO10" s="10">
        <v>10.3</v>
      </c>
      <c r="AQ10" s="6" t="s">
        <v>38</v>
      </c>
      <c r="AR10" s="10">
        <v>15.336</v>
      </c>
      <c r="AS10" s="10">
        <v>4.0839999999999996</v>
      </c>
      <c r="AT10" s="10">
        <v>7.7</v>
      </c>
      <c r="AU10" s="10">
        <v>23.9</v>
      </c>
      <c r="AW10" s="6" t="s">
        <v>38</v>
      </c>
      <c r="AX10" s="10">
        <v>53.268999999999998</v>
      </c>
      <c r="AY10" s="10">
        <v>6.4180000000000001</v>
      </c>
      <c r="AZ10" s="10">
        <v>40.9</v>
      </c>
      <c r="BA10" s="10">
        <v>65.7</v>
      </c>
      <c r="BC10" s="6" t="s">
        <v>38</v>
      </c>
      <c r="BD10" s="10">
        <v>43.085000000000001</v>
      </c>
      <c r="BE10" s="10">
        <v>6.1219999999999999</v>
      </c>
      <c r="BF10" s="10">
        <v>31</v>
      </c>
      <c r="BG10" s="10">
        <v>54.9</v>
      </c>
      <c r="BI10" s="6" t="s">
        <v>38</v>
      </c>
      <c r="BJ10" s="10">
        <v>40.796999999999997</v>
      </c>
      <c r="BK10" s="10">
        <v>6.2409999999999997</v>
      </c>
      <c r="BL10" s="10">
        <v>28.8</v>
      </c>
      <c r="BM10" s="10">
        <v>53.2</v>
      </c>
      <c r="BO10" s="6" t="s">
        <v>38</v>
      </c>
      <c r="BP10" s="10">
        <v>23.956</v>
      </c>
      <c r="BQ10" s="10">
        <v>5.35</v>
      </c>
      <c r="BR10" s="10">
        <v>13.5</v>
      </c>
      <c r="BS10" s="10">
        <v>34.402000000000001</v>
      </c>
    </row>
    <row r="11" spans="1:71" x14ac:dyDescent="0.25">
      <c r="A11" s="6" t="s">
        <v>104</v>
      </c>
      <c r="B11" s="8">
        <v>5.6468454038382321</v>
      </c>
      <c r="C11" s="8">
        <v>0.73167103131178568</v>
      </c>
      <c r="D11" s="8">
        <v>4.212770182467132</v>
      </c>
      <c r="E11" s="8">
        <v>7.0809206252093322</v>
      </c>
      <c r="G11" s="6" t="s">
        <v>104</v>
      </c>
      <c r="H11" s="10">
        <v>0.128</v>
      </c>
      <c r="I11" s="10">
        <v>0.26200000000000001</v>
      </c>
      <c r="J11" s="10">
        <v>0</v>
      </c>
      <c r="K11" s="10">
        <v>0.9</v>
      </c>
      <c r="M11" s="6" t="s">
        <v>104</v>
      </c>
      <c r="N11" s="10">
        <v>0.17399999999999999</v>
      </c>
      <c r="O11" s="10">
        <v>0.35699999999999998</v>
      </c>
      <c r="P11" s="10">
        <v>0</v>
      </c>
      <c r="Q11" s="10">
        <v>1.2</v>
      </c>
      <c r="S11" s="6" t="s">
        <v>104</v>
      </c>
      <c r="T11" s="10">
        <v>0.13400000000000001</v>
      </c>
      <c r="U11" s="10">
        <v>0.26200000000000001</v>
      </c>
      <c r="V11" s="10">
        <v>0</v>
      </c>
      <c r="W11" s="10">
        <v>0.9</v>
      </c>
      <c r="Y11" s="6" t="s">
        <v>104</v>
      </c>
      <c r="Z11">
        <v>0.125</v>
      </c>
      <c r="AA11">
        <v>0.254</v>
      </c>
      <c r="AB11">
        <v>0</v>
      </c>
      <c r="AC11">
        <v>0.9</v>
      </c>
      <c r="AE11" s="6" t="s">
        <v>104</v>
      </c>
      <c r="AF11" s="10">
        <v>0.49299999999999999</v>
      </c>
      <c r="AG11" s="10">
        <v>0.86699999999999999</v>
      </c>
      <c r="AH11" s="10">
        <v>0</v>
      </c>
      <c r="AI11" s="10">
        <v>3.1</v>
      </c>
      <c r="AK11" s="6" t="s">
        <v>104</v>
      </c>
      <c r="AL11" s="10">
        <v>6.0960000000000001</v>
      </c>
      <c r="AM11" s="10">
        <v>2.7919999999999998</v>
      </c>
      <c r="AN11" s="10">
        <v>1.2</v>
      </c>
      <c r="AO11" s="10">
        <v>12.1</v>
      </c>
      <c r="AQ11" s="6" t="s">
        <v>104</v>
      </c>
      <c r="AR11" s="10">
        <v>3.9420000000000002</v>
      </c>
      <c r="AS11" s="10">
        <v>2.7869999999999999</v>
      </c>
      <c r="AT11" s="10">
        <v>0</v>
      </c>
      <c r="AU11" s="10">
        <v>9.9</v>
      </c>
      <c r="AW11" s="6" t="s">
        <v>104</v>
      </c>
      <c r="AX11" s="10">
        <v>14.727</v>
      </c>
      <c r="AY11" s="10">
        <v>5.4450000000000003</v>
      </c>
      <c r="AZ11" s="10">
        <v>4.3</v>
      </c>
      <c r="BA11" s="10">
        <v>25.9</v>
      </c>
      <c r="BC11" s="6" t="s">
        <v>104</v>
      </c>
      <c r="BD11" s="10">
        <v>23.201000000000001</v>
      </c>
      <c r="BE11" s="10">
        <v>5.4379999999999997</v>
      </c>
      <c r="BF11" s="10">
        <v>13</v>
      </c>
      <c r="BG11" s="10">
        <v>34.299999999999997</v>
      </c>
      <c r="BI11" s="6" t="s">
        <v>104</v>
      </c>
      <c r="BJ11" s="10">
        <v>23.099</v>
      </c>
      <c r="BK11" s="10">
        <v>5.0419999999999998</v>
      </c>
      <c r="BL11" s="10">
        <v>13.5</v>
      </c>
      <c r="BM11" s="10">
        <v>33</v>
      </c>
      <c r="BO11" s="6" t="s">
        <v>104</v>
      </c>
      <c r="BP11" s="10">
        <v>28.507999999999999</v>
      </c>
      <c r="BQ11" s="10">
        <v>5.2880000000000003</v>
      </c>
      <c r="BR11" s="10">
        <v>18.797999999999998</v>
      </c>
      <c r="BS11" s="10">
        <v>39.5</v>
      </c>
    </row>
    <row r="12" spans="1:71" x14ac:dyDescent="0.25">
      <c r="A12" s="9" t="s">
        <v>14</v>
      </c>
      <c r="B12" s="8">
        <v>1.9881530391911855</v>
      </c>
      <c r="C12" s="8">
        <v>0.55428096546103911</v>
      </c>
      <c r="D12" s="8">
        <v>0.90176234688754886</v>
      </c>
      <c r="E12" s="8">
        <v>3.0745437314948223</v>
      </c>
      <c r="G12" s="9" t="s">
        <v>14</v>
      </c>
      <c r="H12" s="10">
        <v>3.5000000000000003E-2</v>
      </c>
      <c r="I12" s="10">
        <v>0.13</v>
      </c>
      <c r="J12" s="10">
        <v>0</v>
      </c>
      <c r="K12" s="10">
        <v>0.3</v>
      </c>
      <c r="M12" s="9" t="s">
        <v>14</v>
      </c>
      <c r="N12" s="10">
        <v>2.5000000000000001E-2</v>
      </c>
      <c r="O12" s="10">
        <v>8.5999999999999993E-2</v>
      </c>
      <c r="P12" s="10">
        <v>0</v>
      </c>
      <c r="Q12" s="10">
        <v>0.2</v>
      </c>
      <c r="S12" s="9" t="s">
        <v>14</v>
      </c>
      <c r="T12" s="10">
        <v>0.03</v>
      </c>
      <c r="U12" s="10">
        <v>0.114</v>
      </c>
      <c r="V12" s="10">
        <v>0</v>
      </c>
      <c r="W12" s="10">
        <v>0.3</v>
      </c>
      <c r="Y12" s="9" t="s">
        <v>14</v>
      </c>
      <c r="Z12">
        <v>3.1E-2</v>
      </c>
      <c r="AA12">
        <v>0.125</v>
      </c>
      <c r="AB12">
        <v>0</v>
      </c>
      <c r="AC12">
        <v>0.3</v>
      </c>
      <c r="AE12" s="9" t="s">
        <v>14</v>
      </c>
      <c r="AF12" s="10">
        <v>0.13900000000000001</v>
      </c>
      <c r="AG12" s="10">
        <v>0.495</v>
      </c>
      <c r="AH12" s="10">
        <v>0</v>
      </c>
      <c r="AI12" s="10">
        <v>1.7</v>
      </c>
      <c r="AK12" s="9" t="s">
        <v>14</v>
      </c>
      <c r="AL12" s="10">
        <v>1.002</v>
      </c>
      <c r="AM12" s="10">
        <v>1.61</v>
      </c>
      <c r="AN12" s="10">
        <v>0</v>
      </c>
      <c r="AO12" s="10">
        <v>5.4</v>
      </c>
      <c r="AQ12" s="9" t="s">
        <v>14</v>
      </c>
      <c r="AR12" s="10">
        <v>0.20899999999999999</v>
      </c>
      <c r="AS12" s="10">
        <v>0.71699999999999997</v>
      </c>
      <c r="AT12" s="10">
        <v>0</v>
      </c>
      <c r="AU12" s="10">
        <v>2.5</v>
      </c>
      <c r="AW12" s="9" t="s">
        <v>14</v>
      </c>
      <c r="AX12" s="10">
        <v>11.397</v>
      </c>
      <c r="AY12" s="10">
        <v>4.633</v>
      </c>
      <c r="AZ12" s="10">
        <v>0.1</v>
      </c>
      <c r="BA12" s="10">
        <v>20.399999999999999</v>
      </c>
      <c r="BC12" s="9" t="s">
        <v>14</v>
      </c>
      <c r="BD12" s="10">
        <v>2.64</v>
      </c>
      <c r="BE12" s="10">
        <v>3.6829999999999998</v>
      </c>
      <c r="BF12" s="10">
        <v>0</v>
      </c>
      <c r="BG12" s="10">
        <v>12.1</v>
      </c>
      <c r="BI12" s="9" t="s">
        <v>14</v>
      </c>
      <c r="BJ12" s="10">
        <v>0.105</v>
      </c>
      <c r="BK12" s="10">
        <v>0.441</v>
      </c>
      <c r="BL12" s="10">
        <v>0</v>
      </c>
      <c r="BM12" s="10">
        <v>1.2</v>
      </c>
      <c r="BO12" s="9" t="s">
        <v>14</v>
      </c>
      <c r="BP12" s="10">
        <v>12.356</v>
      </c>
      <c r="BQ12" s="10">
        <v>3.9740000000000002</v>
      </c>
      <c r="BR12" s="10">
        <v>5.2</v>
      </c>
      <c r="BS12" s="10">
        <v>20.6</v>
      </c>
    </row>
    <row r="13" spans="1:71" x14ac:dyDescent="0.25">
      <c r="A13" s="9" t="s">
        <v>15</v>
      </c>
      <c r="B13" s="8">
        <v>3.6649893093960588</v>
      </c>
      <c r="C13" s="8">
        <v>0.57274088235653209</v>
      </c>
      <c r="D13" s="8">
        <v>2.5424171799772557</v>
      </c>
      <c r="E13" s="8">
        <v>4.787561438814862</v>
      </c>
      <c r="G13" s="9" t="s">
        <v>15</v>
      </c>
      <c r="H13" s="10">
        <v>0.10199999999999999</v>
      </c>
      <c r="I13" s="10">
        <v>0.23</v>
      </c>
      <c r="J13" s="10">
        <v>0</v>
      </c>
      <c r="K13" s="10">
        <v>0.7</v>
      </c>
      <c r="M13" s="9" t="s">
        <v>15</v>
      </c>
      <c r="N13" s="10">
        <v>0.157</v>
      </c>
      <c r="O13" s="10">
        <v>0.34699999999999998</v>
      </c>
      <c r="P13" s="10">
        <v>0</v>
      </c>
      <c r="Q13" s="10">
        <v>1.2</v>
      </c>
      <c r="S13" s="9" t="s">
        <v>15</v>
      </c>
      <c r="T13" s="10">
        <v>0.112</v>
      </c>
      <c r="U13" s="10">
        <v>0.23899999999999999</v>
      </c>
      <c r="V13" s="10">
        <v>0</v>
      </c>
      <c r="W13" s="10">
        <v>0.8</v>
      </c>
      <c r="Y13" s="9" t="s">
        <v>15</v>
      </c>
      <c r="Z13">
        <v>0.10199999999999999</v>
      </c>
      <c r="AA13">
        <v>0.22500000000000001</v>
      </c>
      <c r="AB13">
        <v>0</v>
      </c>
      <c r="AC13">
        <v>0.8</v>
      </c>
      <c r="AE13" s="9" t="s">
        <v>15</v>
      </c>
      <c r="AF13" s="10">
        <v>0.36299999999999999</v>
      </c>
      <c r="AG13" s="10">
        <v>0.71499999999999997</v>
      </c>
      <c r="AH13" s="10">
        <v>0</v>
      </c>
      <c r="AI13" s="10">
        <v>2.6</v>
      </c>
      <c r="AK13" s="9" t="s">
        <v>15</v>
      </c>
      <c r="AL13" s="10">
        <v>5.0960000000000001</v>
      </c>
      <c r="AM13" s="10">
        <v>2.681</v>
      </c>
      <c r="AN13" s="10">
        <v>0.2</v>
      </c>
      <c r="AO13" s="10">
        <v>10.8</v>
      </c>
      <c r="AQ13" s="9" t="s">
        <v>15</v>
      </c>
      <c r="AR13" s="10">
        <v>3.74</v>
      </c>
      <c r="AS13" s="10">
        <v>2.7429999999999999</v>
      </c>
      <c r="AT13" s="10">
        <v>0</v>
      </c>
      <c r="AU13" s="10">
        <v>9.6</v>
      </c>
      <c r="AW13" s="9" t="s">
        <v>15</v>
      </c>
      <c r="AX13" s="10">
        <v>3.3319999999999999</v>
      </c>
      <c r="AY13" s="10">
        <v>3.5659999999999998</v>
      </c>
      <c r="AZ13" s="10">
        <v>0</v>
      </c>
      <c r="BA13" s="10">
        <v>12.1</v>
      </c>
      <c r="BC13" s="9" t="s">
        <v>15</v>
      </c>
      <c r="BD13" s="10">
        <v>20.562999999999999</v>
      </c>
      <c r="BE13" s="10">
        <v>5.4489999999999998</v>
      </c>
      <c r="BF13" s="10">
        <v>10.1</v>
      </c>
      <c r="BG13" s="10">
        <v>31.5</v>
      </c>
      <c r="BI13" s="9" t="s">
        <v>15</v>
      </c>
      <c r="BJ13" s="10">
        <v>23</v>
      </c>
      <c r="BK13" s="10">
        <v>5.0439999999999996</v>
      </c>
      <c r="BL13" s="10">
        <v>13.4</v>
      </c>
      <c r="BM13" s="10">
        <v>32.9</v>
      </c>
      <c r="BO13" s="9" t="s">
        <v>15</v>
      </c>
      <c r="BP13" s="10">
        <v>16.148</v>
      </c>
      <c r="BQ13" s="10">
        <v>4.5570000000000004</v>
      </c>
      <c r="BR13" s="10">
        <v>7.9</v>
      </c>
      <c r="BS13" s="10">
        <v>25.5</v>
      </c>
    </row>
    <row r="14" spans="1:71" x14ac:dyDescent="0.25">
      <c r="A14" s="6" t="s">
        <v>105</v>
      </c>
      <c r="B14" s="8">
        <v>4.5038430339540287</v>
      </c>
      <c r="C14" s="8">
        <v>0.34316701583303549</v>
      </c>
      <c r="D14" s="8">
        <v>3.831235682921279</v>
      </c>
      <c r="E14" s="8">
        <v>5.1764503849867785</v>
      </c>
      <c r="G14" s="6" t="s">
        <v>105</v>
      </c>
      <c r="H14" s="10">
        <v>7.5999999999999998E-2</v>
      </c>
      <c r="I14" s="10">
        <v>0.182</v>
      </c>
      <c r="J14" s="10">
        <v>0</v>
      </c>
      <c r="K14" s="10">
        <v>0.6</v>
      </c>
      <c r="M14" s="6" t="s">
        <v>105</v>
      </c>
      <c r="N14" s="10">
        <v>0.125</v>
      </c>
      <c r="O14" s="10">
        <v>0.27400000000000002</v>
      </c>
      <c r="P14" s="10">
        <v>0</v>
      </c>
      <c r="Q14" s="10">
        <v>1</v>
      </c>
      <c r="S14" s="6" t="s">
        <v>105</v>
      </c>
      <c r="T14" s="10">
        <v>6.3E-2</v>
      </c>
      <c r="U14" s="10">
        <v>0.14899999999999999</v>
      </c>
      <c r="V14" s="10">
        <v>0</v>
      </c>
      <c r="W14" s="10">
        <v>0.5</v>
      </c>
      <c r="Y14" s="6" t="s">
        <v>105</v>
      </c>
      <c r="Z14">
        <v>6.4000000000000001E-2</v>
      </c>
      <c r="AA14">
        <v>0.155</v>
      </c>
      <c r="AB14">
        <v>0</v>
      </c>
      <c r="AC14">
        <v>0.5</v>
      </c>
      <c r="AE14" s="6" t="s">
        <v>105</v>
      </c>
      <c r="AF14" s="10">
        <v>0.377</v>
      </c>
      <c r="AG14" s="10">
        <v>0.49</v>
      </c>
      <c r="AH14" s="10">
        <v>0</v>
      </c>
      <c r="AI14" s="10">
        <v>1.7</v>
      </c>
      <c r="AK14" s="6" t="s">
        <v>105</v>
      </c>
      <c r="AL14" s="10">
        <v>1.2130000000000001</v>
      </c>
      <c r="AM14" s="10">
        <v>1.006</v>
      </c>
      <c r="AN14" s="10">
        <v>0</v>
      </c>
      <c r="AO14" s="10">
        <v>3.6</v>
      </c>
      <c r="AQ14" s="6" t="s">
        <v>105</v>
      </c>
      <c r="AR14" s="10">
        <v>2.468</v>
      </c>
      <c r="AS14" s="10">
        <v>1.089</v>
      </c>
      <c r="AT14" s="10">
        <v>0.8</v>
      </c>
      <c r="AU14" s="10">
        <v>5</v>
      </c>
      <c r="AW14" s="6" t="s">
        <v>105</v>
      </c>
      <c r="AX14" s="10">
        <v>13.981</v>
      </c>
      <c r="AY14" s="10">
        <v>2.2639999999999998</v>
      </c>
      <c r="AZ14" s="10">
        <v>9.8000000000000007</v>
      </c>
      <c r="BA14" s="10">
        <v>18.7</v>
      </c>
      <c r="BC14" s="6" t="s">
        <v>105</v>
      </c>
      <c r="BD14" s="10">
        <v>16.733000000000001</v>
      </c>
      <c r="BE14" s="10">
        <v>2.4689999999999999</v>
      </c>
      <c r="BF14" s="10">
        <v>12.1</v>
      </c>
      <c r="BG14" s="10">
        <v>21.8</v>
      </c>
      <c r="BI14" s="6" t="s">
        <v>105</v>
      </c>
      <c r="BJ14" s="10">
        <v>19.898</v>
      </c>
      <c r="BK14" s="10">
        <v>3.1520000000000001</v>
      </c>
      <c r="BL14" s="10">
        <v>13.9</v>
      </c>
      <c r="BM14" s="10">
        <v>26.3</v>
      </c>
      <c r="BO14" s="6" t="s">
        <v>105</v>
      </c>
      <c r="BP14" s="10">
        <v>20.905999999999999</v>
      </c>
      <c r="BQ14" s="10">
        <v>2.9340000000000002</v>
      </c>
      <c r="BR14" s="10">
        <v>15.5</v>
      </c>
      <c r="BS14" s="10">
        <v>27</v>
      </c>
    </row>
    <row r="15" spans="1:71" x14ac:dyDescent="0.25">
      <c r="A15" s="9" t="s">
        <v>17</v>
      </c>
      <c r="B15" s="8">
        <v>4.1558583667119366</v>
      </c>
      <c r="C15" s="8">
        <v>0.32701914329611254</v>
      </c>
      <c r="D15" s="8">
        <v>3.5149008458515558</v>
      </c>
      <c r="E15" s="8">
        <v>4.7968158875723175</v>
      </c>
      <c r="G15" s="9" t="s">
        <v>17</v>
      </c>
      <c r="H15" s="10">
        <v>5.0999999999999997E-2</v>
      </c>
      <c r="I15" s="10">
        <v>0.13900000000000001</v>
      </c>
      <c r="J15" s="10">
        <v>0</v>
      </c>
      <c r="K15" s="10">
        <v>0.4</v>
      </c>
      <c r="M15" s="9" t="s">
        <v>17</v>
      </c>
      <c r="N15" s="10">
        <v>4.4999999999999998E-2</v>
      </c>
      <c r="O15" s="10">
        <v>0.124</v>
      </c>
      <c r="P15" s="10">
        <v>0</v>
      </c>
      <c r="Q15" s="10">
        <v>0.30199999999999999</v>
      </c>
      <c r="S15" s="9" t="s">
        <v>17</v>
      </c>
      <c r="T15" s="10">
        <v>4.7E-2</v>
      </c>
      <c r="U15" s="10">
        <v>0.13</v>
      </c>
      <c r="V15" s="10">
        <v>0</v>
      </c>
      <c r="W15" s="10">
        <v>0.4</v>
      </c>
      <c r="Y15" s="9" t="s">
        <v>17</v>
      </c>
      <c r="Z15">
        <v>4.1000000000000002E-2</v>
      </c>
      <c r="AA15">
        <v>0.111</v>
      </c>
      <c r="AB15">
        <v>0</v>
      </c>
      <c r="AC15">
        <v>0.3</v>
      </c>
      <c r="AE15" s="9" t="s">
        <v>17</v>
      </c>
      <c r="AF15" s="10">
        <v>0.33900000000000002</v>
      </c>
      <c r="AG15" s="10">
        <v>0.45200000000000001</v>
      </c>
      <c r="AH15" s="10">
        <v>0</v>
      </c>
      <c r="AI15" s="10">
        <v>1.6</v>
      </c>
      <c r="AK15" s="9" t="s">
        <v>17</v>
      </c>
      <c r="AL15" s="10">
        <v>1.1910000000000001</v>
      </c>
      <c r="AM15" s="10">
        <v>0.997</v>
      </c>
      <c r="AN15" s="10">
        <v>0</v>
      </c>
      <c r="AO15" s="10">
        <v>3.5</v>
      </c>
      <c r="AQ15" s="9" t="s">
        <v>17</v>
      </c>
      <c r="AR15" s="10">
        <v>2.4449999999999998</v>
      </c>
      <c r="AS15" s="10">
        <v>1.0820000000000001</v>
      </c>
      <c r="AT15" s="10">
        <v>0.79800000000000004</v>
      </c>
      <c r="AU15" s="10">
        <v>5</v>
      </c>
      <c r="AW15" s="9" t="s">
        <v>17</v>
      </c>
      <c r="AX15" s="10">
        <v>13.94</v>
      </c>
      <c r="AY15" s="10">
        <v>2.258</v>
      </c>
      <c r="AZ15" s="10">
        <v>9.8000000000000007</v>
      </c>
      <c r="BA15" s="10">
        <v>18.600000000000001</v>
      </c>
      <c r="BC15" s="9" t="s">
        <v>17</v>
      </c>
      <c r="BD15" s="10">
        <v>16.318999999999999</v>
      </c>
      <c r="BE15" s="10">
        <v>2.3719999999999999</v>
      </c>
      <c r="BF15" s="10">
        <v>11.9</v>
      </c>
      <c r="BG15" s="10">
        <v>21.2</v>
      </c>
      <c r="BI15" s="9" t="s">
        <v>17</v>
      </c>
      <c r="BJ15" s="10">
        <v>17.260999999999999</v>
      </c>
      <c r="BK15" s="10">
        <v>2.919</v>
      </c>
      <c r="BL15" s="10">
        <v>11.8</v>
      </c>
      <c r="BM15" s="10">
        <v>23.2</v>
      </c>
      <c r="BO15" s="9" t="s">
        <v>17</v>
      </c>
      <c r="BP15" s="10">
        <v>18.765999999999998</v>
      </c>
      <c r="BQ15" s="10">
        <v>2.6190000000000002</v>
      </c>
      <c r="BR15" s="10">
        <v>14</v>
      </c>
      <c r="BS15" s="10">
        <v>24.1</v>
      </c>
    </row>
    <row r="16" spans="1:71" x14ac:dyDescent="0.25">
      <c r="A16" s="9" t="s">
        <v>18</v>
      </c>
      <c r="B16" s="8">
        <v>0.35321205258866611</v>
      </c>
      <c r="C16" s="8">
        <v>0.11364726847812993</v>
      </c>
      <c r="D16" s="8">
        <v>0.13046340637153145</v>
      </c>
      <c r="E16" s="8">
        <v>0.57596069880580081</v>
      </c>
      <c r="G16" s="9" t="s">
        <v>18</v>
      </c>
      <c r="H16" s="10">
        <v>3.1E-2</v>
      </c>
      <c r="I16" s="10">
        <v>0.122</v>
      </c>
      <c r="J16" s="10">
        <v>0</v>
      </c>
      <c r="K16" s="10">
        <v>0.3</v>
      </c>
      <c r="M16" s="9" t="s">
        <v>18</v>
      </c>
      <c r="N16" s="10">
        <v>8.6999999999999994E-2</v>
      </c>
      <c r="O16" s="10">
        <v>0.247</v>
      </c>
      <c r="P16" s="10">
        <v>0</v>
      </c>
      <c r="Q16" s="10">
        <v>0.9</v>
      </c>
      <c r="S16" s="9" t="s">
        <v>18</v>
      </c>
      <c r="T16" s="10">
        <v>2.1999999999999999E-2</v>
      </c>
      <c r="U16" s="10">
        <v>7.6999999999999999E-2</v>
      </c>
      <c r="V16" s="10">
        <v>0</v>
      </c>
      <c r="W16" s="10">
        <v>0.2</v>
      </c>
      <c r="Y16" s="9" t="s">
        <v>18</v>
      </c>
      <c r="Z16">
        <v>2.9000000000000001E-2</v>
      </c>
      <c r="AA16">
        <v>0.112</v>
      </c>
      <c r="AB16">
        <v>0</v>
      </c>
      <c r="AC16">
        <v>0.2</v>
      </c>
      <c r="AE16" s="9" t="s">
        <v>18</v>
      </c>
      <c r="AF16" s="10">
        <v>4.3999999999999997E-2</v>
      </c>
      <c r="AG16" s="10">
        <v>0.17899999999999999</v>
      </c>
      <c r="AH16" s="10">
        <v>0</v>
      </c>
      <c r="AI16" s="10">
        <v>0.4</v>
      </c>
      <c r="AK16" s="9" t="s">
        <v>18</v>
      </c>
      <c r="AL16" s="10">
        <v>0.03</v>
      </c>
      <c r="AM16" s="10">
        <v>0.122</v>
      </c>
      <c r="AN16" s="10">
        <v>0</v>
      </c>
      <c r="AO16" s="10">
        <v>0.2</v>
      </c>
      <c r="AQ16" s="9" t="s">
        <v>18</v>
      </c>
      <c r="AR16" s="10">
        <v>3.1E-2</v>
      </c>
      <c r="AS16" s="10">
        <v>0.11600000000000001</v>
      </c>
      <c r="AT16" s="10">
        <v>0</v>
      </c>
      <c r="AU16" s="10">
        <v>0.3</v>
      </c>
      <c r="AW16" s="9" t="s">
        <v>18</v>
      </c>
      <c r="AX16" s="10">
        <v>5.1999999999999998E-2</v>
      </c>
      <c r="AY16" s="10">
        <v>0.19400000000000001</v>
      </c>
      <c r="AZ16" s="10">
        <v>0</v>
      </c>
      <c r="BA16" s="10">
        <v>0.6</v>
      </c>
      <c r="BC16" s="9" t="s">
        <v>18</v>
      </c>
      <c r="BD16" s="10">
        <v>0.41699999999999998</v>
      </c>
      <c r="BE16" s="10">
        <v>0.752</v>
      </c>
      <c r="BF16" s="10">
        <v>0</v>
      </c>
      <c r="BG16" s="10">
        <v>2.6</v>
      </c>
      <c r="BI16" s="9" t="s">
        <v>18</v>
      </c>
      <c r="BJ16" s="10">
        <v>2.6269999999999998</v>
      </c>
      <c r="BK16" s="10">
        <v>1.28</v>
      </c>
      <c r="BL16" s="10">
        <v>0.5</v>
      </c>
      <c r="BM16" s="10">
        <v>5.4</v>
      </c>
      <c r="BO16" s="9" t="s">
        <v>18</v>
      </c>
      <c r="BP16" s="10">
        <v>2.1360000000000001</v>
      </c>
      <c r="BQ16" s="10">
        <v>1.5089999999999999</v>
      </c>
      <c r="BR16" s="10">
        <v>0</v>
      </c>
      <c r="BS16" s="10">
        <v>5.7</v>
      </c>
    </row>
    <row r="17" spans="1:71" x14ac:dyDescent="0.25">
      <c r="A17" t="s">
        <v>41</v>
      </c>
      <c r="B17" s="8">
        <v>15.476780433934671</v>
      </c>
      <c r="C17" s="8">
        <v>0.91599608443644376</v>
      </c>
      <c r="D17" s="8">
        <v>13.681428108439242</v>
      </c>
      <c r="E17" s="8">
        <v>17.2721327594301</v>
      </c>
      <c r="G17" t="s">
        <v>41</v>
      </c>
      <c r="H17" s="10">
        <v>0.28199999999999997</v>
      </c>
      <c r="I17" s="10">
        <v>0.49099999999999999</v>
      </c>
      <c r="J17" s="10">
        <v>0</v>
      </c>
      <c r="K17" s="10">
        <v>1.7</v>
      </c>
      <c r="M17" t="s">
        <v>41</v>
      </c>
      <c r="N17" s="10">
        <v>0.88100000000000001</v>
      </c>
      <c r="O17" s="10">
        <v>1.0960000000000001</v>
      </c>
      <c r="P17" s="10">
        <v>0</v>
      </c>
      <c r="Q17" s="10">
        <v>3.8</v>
      </c>
      <c r="S17" t="s">
        <v>41</v>
      </c>
      <c r="T17" s="10">
        <v>0.69499999999999995</v>
      </c>
      <c r="U17" s="10">
        <v>0.98799999999999999</v>
      </c>
      <c r="V17" s="10">
        <v>0</v>
      </c>
      <c r="W17" s="10">
        <v>3.5</v>
      </c>
      <c r="Y17" t="s">
        <v>41</v>
      </c>
      <c r="Z17">
        <v>0.67200000000000004</v>
      </c>
      <c r="AA17">
        <v>0.98</v>
      </c>
      <c r="AB17">
        <v>0</v>
      </c>
      <c r="AC17">
        <v>3.5</v>
      </c>
      <c r="AE17" t="s">
        <v>41</v>
      </c>
      <c r="AF17" s="10">
        <v>3.8839999999999999</v>
      </c>
      <c r="AG17" s="10">
        <v>2.93</v>
      </c>
      <c r="AH17" s="10">
        <v>0</v>
      </c>
      <c r="AI17" s="10">
        <v>10.7</v>
      </c>
      <c r="AK17" t="s">
        <v>41</v>
      </c>
      <c r="AL17" s="10">
        <v>4.2910000000000004</v>
      </c>
      <c r="AM17" s="10">
        <v>3.1469999999999998</v>
      </c>
      <c r="AN17" s="10">
        <v>0</v>
      </c>
      <c r="AO17" s="10">
        <v>11.3</v>
      </c>
      <c r="AQ17" t="s">
        <v>41</v>
      </c>
      <c r="AR17" s="10">
        <v>15.569000000000001</v>
      </c>
      <c r="AS17" s="10">
        <v>4.1310000000000002</v>
      </c>
      <c r="AT17" s="10">
        <v>7.9</v>
      </c>
      <c r="AU17" s="10">
        <v>24.2</v>
      </c>
      <c r="AW17" t="s">
        <v>41</v>
      </c>
      <c r="AX17" s="10">
        <v>56.718000000000004</v>
      </c>
      <c r="AY17" s="10">
        <v>6.1139999999999999</v>
      </c>
      <c r="AZ17" s="10">
        <v>45.1</v>
      </c>
      <c r="BA17" s="10">
        <v>68.900000000000006</v>
      </c>
      <c r="BC17" t="s">
        <v>41</v>
      </c>
      <c r="BD17" s="10">
        <v>55.764000000000003</v>
      </c>
      <c r="BE17" s="10">
        <v>5.8760000000000003</v>
      </c>
      <c r="BF17" s="10">
        <v>44.1</v>
      </c>
      <c r="BG17" s="10">
        <v>67.099999999999994</v>
      </c>
      <c r="BI17" t="s">
        <v>41</v>
      </c>
      <c r="BJ17" s="10">
        <v>54.773000000000003</v>
      </c>
      <c r="BK17" s="10">
        <v>6.024</v>
      </c>
      <c r="BL17" s="10">
        <v>42.997999999999998</v>
      </c>
      <c r="BM17" s="10">
        <v>66.2</v>
      </c>
      <c r="BO17" t="s">
        <v>41</v>
      </c>
      <c r="BP17" s="10">
        <v>46.957000000000001</v>
      </c>
      <c r="BQ17" s="10">
        <v>5.6379999999999999</v>
      </c>
      <c r="BR17" s="10">
        <v>35.5</v>
      </c>
      <c r="BS17" s="10">
        <v>57.8</v>
      </c>
    </row>
    <row r="18" spans="1:71" x14ac:dyDescent="0.25">
      <c r="A18" t="s">
        <v>106</v>
      </c>
      <c r="B18" s="8">
        <v>8.1585597029766745</v>
      </c>
      <c r="C18" s="8">
        <v>0.63381398686923407</v>
      </c>
      <c r="D18" s="8">
        <v>6.9162842887129763</v>
      </c>
      <c r="E18" s="8">
        <v>9.4008351172403728</v>
      </c>
      <c r="G18" t="s">
        <v>106</v>
      </c>
      <c r="H18" s="10">
        <v>0.161</v>
      </c>
      <c r="I18" s="10">
        <v>0.29599999999999999</v>
      </c>
      <c r="J18" s="10">
        <v>0</v>
      </c>
      <c r="K18" s="10">
        <v>1</v>
      </c>
      <c r="M18" t="s">
        <v>106</v>
      </c>
      <c r="N18" s="10">
        <v>0.26500000000000001</v>
      </c>
      <c r="O18" s="10">
        <v>0.44500000000000001</v>
      </c>
      <c r="P18" s="10">
        <v>0</v>
      </c>
      <c r="Q18" s="10">
        <v>1.5</v>
      </c>
      <c r="S18" t="s">
        <v>106</v>
      </c>
      <c r="T18" s="10">
        <v>0.157</v>
      </c>
      <c r="U18" s="10">
        <v>0.28399999999999997</v>
      </c>
      <c r="V18" s="10">
        <v>0</v>
      </c>
      <c r="W18" s="10">
        <v>1</v>
      </c>
      <c r="Y18" t="s">
        <v>106</v>
      </c>
      <c r="Z18">
        <v>0.14899999999999999</v>
      </c>
      <c r="AA18">
        <v>0.27</v>
      </c>
      <c r="AB18">
        <v>0</v>
      </c>
      <c r="AC18">
        <v>0.9</v>
      </c>
      <c r="AE18" t="s">
        <v>106</v>
      </c>
      <c r="AF18" s="10">
        <v>0.72799999999999998</v>
      </c>
      <c r="AG18" s="10">
        <v>0.85399999999999998</v>
      </c>
      <c r="AH18" s="10">
        <v>0</v>
      </c>
      <c r="AI18" s="10">
        <v>3.1</v>
      </c>
      <c r="AK18" t="s">
        <v>106</v>
      </c>
      <c r="AL18" s="10">
        <v>6.3129999999999997</v>
      </c>
      <c r="AM18" s="10">
        <v>2.6469999999999998</v>
      </c>
      <c r="AN18" s="10">
        <v>1.5</v>
      </c>
      <c r="AO18" s="10">
        <v>11.9</v>
      </c>
      <c r="AQ18" t="s">
        <v>106</v>
      </c>
      <c r="AR18" s="10">
        <v>6.2149999999999999</v>
      </c>
      <c r="AS18" s="10">
        <v>2.9550000000000001</v>
      </c>
      <c r="AT18" s="10">
        <v>1.4</v>
      </c>
      <c r="AU18" s="10">
        <v>12.4</v>
      </c>
      <c r="AW18" t="s">
        <v>106</v>
      </c>
      <c r="AX18" s="10">
        <v>17.312999999999999</v>
      </c>
      <c r="AY18" s="10">
        <v>4.1479999999999997</v>
      </c>
      <c r="AZ18" s="10">
        <v>10.9</v>
      </c>
      <c r="BA18" s="10">
        <v>26.7</v>
      </c>
      <c r="BC18" t="s">
        <v>106</v>
      </c>
      <c r="BD18" s="10">
        <v>37.301000000000002</v>
      </c>
      <c r="BE18" s="10">
        <v>5.5730000000000004</v>
      </c>
      <c r="BF18" s="10">
        <v>26.6</v>
      </c>
      <c r="BG18" s="10">
        <v>48.402000000000001</v>
      </c>
      <c r="BI18" t="s">
        <v>106</v>
      </c>
      <c r="BJ18" s="10">
        <v>42.905999999999999</v>
      </c>
      <c r="BK18" s="10">
        <v>5.4690000000000003</v>
      </c>
      <c r="BL18" s="10">
        <v>32.200000000000003</v>
      </c>
      <c r="BM18" s="10">
        <v>53.7</v>
      </c>
      <c r="BO18" t="s">
        <v>106</v>
      </c>
      <c r="BP18" s="10">
        <v>37.057000000000002</v>
      </c>
      <c r="BQ18" s="10">
        <v>4.9139999999999997</v>
      </c>
      <c r="BR18" s="10">
        <v>27.7</v>
      </c>
      <c r="BS18" s="10">
        <v>47</v>
      </c>
    </row>
    <row r="19" spans="1:71" x14ac:dyDescent="0.25">
      <c r="A19" t="s">
        <v>22</v>
      </c>
      <c r="B19" s="8">
        <v>21.436349785754526</v>
      </c>
      <c r="C19" s="8">
        <v>0.56782410544639317</v>
      </c>
      <c r="D19" s="8">
        <v>20.323414539079597</v>
      </c>
      <c r="E19" s="8">
        <v>22.549285032429456</v>
      </c>
      <c r="G19" t="s">
        <v>22</v>
      </c>
      <c r="H19" s="10">
        <v>0.35499999999999998</v>
      </c>
      <c r="I19" s="10">
        <v>0.51400000000000001</v>
      </c>
      <c r="J19" s="10">
        <v>0</v>
      </c>
      <c r="K19" s="10">
        <v>1.8</v>
      </c>
      <c r="M19" t="s">
        <v>22</v>
      </c>
      <c r="N19" s="10">
        <v>0.34799999999999998</v>
      </c>
      <c r="O19" s="10">
        <v>0.49399999999999999</v>
      </c>
      <c r="P19" s="10">
        <v>0</v>
      </c>
      <c r="Q19" s="10">
        <v>1.7</v>
      </c>
      <c r="S19" t="s">
        <v>22</v>
      </c>
      <c r="T19" s="10">
        <v>0.33600000000000002</v>
      </c>
      <c r="U19" s="10">
        <v>0.497</v>
      </c>
      <c r="V19" s="10">
        <v>0</v>
      </c>
      <c r="W19" s="10">
        <v>1.8</v>
      </c>
      <c r="Y19" t="s">
        <v>22</v>
      </c>
      <c r="Z19">
        <v>0.40899999999999997</v>
      </c>
      <c r="AA19">
        <v>0.59699999999999998</v>
      </c>
      <c r="AB19">
        <v>0</v>
      </c>
      <c r="AC19">
        <v>2.1</v>
      </c>
      <c r="AE19" t="s">
        <v>22</v>
      </c>
      <c r="AF19" s="10">
        <v>3.2919999999999998</v>
      </c>
      <c r="AG19" s="10">
        <v>2.141</v>
      </c>
      <c r="AH19" s="10">
        <v>0.2</v>
      </c>
      <c r="AI19" s="10">
        <v>8</v>
      </c>
      <c r="AK19" t="s">
        <v>22</v>
      </c>
      <c r="AL19" s="10">
        <v>10.824</v>
      </c>
      <c r="AM19" s="10">
        <v>2.8559999999999999</v>
      </c>
      <c r="AN19" s="10">
        <v>5.6</v>
      </c>
      <c r="AO19" s="10">
        <v>16.7</v>
      </c>
      <c r="AQ19" t="s">
        <v>22</v>
      </c>
      <c r="AR19" s="10">
        <v>21.763000000000002</v>
      </c>
      <c r="AS19" s="10">
        <v>3.7090000000000001</v>
      </c>
      <c r="AT19" s="10">
        <v>15.098000000000001</v>
      </c>
      <c r="AU19" s="10">
        <v>29.5</v>
      </c>
      <c r="AW19" t="s">
        <v>22</v>
      </c>
      <c r="AX19" s="10">
        <v>81.980999999999995</v>
      </c>
      <c r="AY19" s="10">
        <v>3.5139999999999998</v>
      </c>
      <c r="AZ19" s="10">
        <v>74.8</v>
      </c>
      <c r="BA19" s="10">
        <v>88.5</v>
      </c>
      <c r="BC19" t="s">
        <v>22</v>
      </c>
      <c r="BD19" s="10">
        <v>83.025000000000006</v>
      </c>
      <c r="BE19" s="10">
        <v>3.609</v>
      </c>
      <c r="BF19" s="10">
        <v>75.5</v>
      </c>
      <c r="BG19" s="10">
        <v>89.7</v>
      </c>
      <c r="BI19" t="s">
        <v>22</v>
      </c>
      <c r="BJ19" s="10">
        <v>83.811000000000007</v>
      </c>
      <c r="BK19" s="10">
        <v>4.0259999999999998</v>
      </c>
      <c r="BL19" s="10">
        <v>75.2</v>
      </c>
      <c r="BM19" s="10">
        <v>91</v>
      </c>
      <c r="BO19" t="s">
        <v>22</v>
      </c>
      <c r="BP19" s="10">
        <v>73.379000000000005</v>
      </c>
      <c r="BQ19" s="10">
        <v>3.919</v>
      </c>
      <c r="BR19" s="10">
        <v>65.400000000000006</v>
      </c>
      <c r="BS19" s="10">
        <v>80.7</v>
      </c>
    </row>
    <row r="20" spans="1:71" x14ac:dyDescent="0.25">
      <c r="A20" t="s">
        <v>42</v>
      </c>
      <c r="B20" s="8">
        <v>89.859400447244255</v>
      </c>
      <c r="C20" s="8">
        <v>0.76322495677873337</v>
      </c>
      <c r="D20" s="8">
        <v>88.363479531957935</v>
      </c>
      <c r="E20" s="8">
        <v>91.355321362530574</v>
      </c>
      <c r="G20" t="s">
        <v>42</v>
      </c>
      <c r="H20" s="10">
        <v>99.813999999999993</v>
      </c>
      <c r="I20" s="10">
        <v>0.32</v>
      </c>
      <c r="J20" s="10">
        <v>98.9</v>
      </c>
      <c r="K20" s="10">
        <v>100</v>
      </c>
      <c r="M20" t="s">
        <v>42</v>
      </c>
      <c r="N20" s="10">
        <v>99.72</v>
      </c>
      <c r="O20" s="10">
        <v>0.45200000000000001</v>
      </c>
      <c r="P20" s="10">
        <v>98.4</v>
      </c>
      <c r="Q20" s="10">
        <v>100</v>
      </c>
      <c r="S20" t="s">
        <v>42</v>
      </c>
      <c r="T20" s="10">
        <v>99.822000000000003</v>
      </c>
      <c r="U20" s="10">
        <v>0.30299999999999999</v>
      </c>
      <c r="V20" s="10">
        <v>98.9</v>
      </c>
      <c r="W20" s="10">
        <v>100</v>
      </c>
      <c r="Y20" t="s">
        <v>42</v>
      </c>
      <c r="Z20">
        <v>99.83</v>
      </c>
      <c r="AA20">
        <v>0.29599999999999999</v>
      </c>
      <c r="AB20">
        <v>99</v>
      </c>
      <c r="AC20">
        <v>100</v>
      </c>
      <c r="AE20" t="s">
        <v>42</v>
      </c>
      <c r="AF20" s="10">
        <v>99.141000000000005</v>
      </c>
      <c r="AG20" s="10">
        <v>0.98299999999999998</v>
      </c>
      <c r="AH20" s="10">
        <v>96.4</v>
      </c>
      <c r="AI20" s="10">
        <v>100</v>
      </c>
      <c r="AK20" t="s">
        <v>42</v>
      </c>
      <c r="AL20" s="10">
        <v>92.686000000000007</v>
      </c>
      <c r="AM20" s="10">
        <v>2.7639999999999998</v>
      </c>
      <c r="AN20" s="10">
        <v>86.8</v>
      </c>
      <c r="AO20" s="10">
        <v>97.6</v>
      </c>
      <c r="AQ20" t="s">
        <v>42</v>
      </c>
      <c r="AR20" s="10">
        <v>93.582999999999998</v>
      </c>
      <c r="AS20" s="10">
        <v>2.9969999999999999</v>
      </c>
      <c r="AT20" s="10">
        <v>87.3</v>
      </c>
      <c r="AU20" s="10">
        <v>98.5</v>
      </c>
      <c r="AW20" t="s">
        <v>42</v>
      </c>
      <c r="AX20" s="10">
        <v>71.284000000000006</v>
      </c>
      <c r="AY20" s="10">
        <v>5.6660000000000004</v>
      </c>
      <c r="AZ20" s="10">
        <v>60</v>
      </c>
      <c r="BA20" s="10">
        <v>82.1</v>
      </c>
      <c r="BC20" t="s">
        <v>42</v>
      </c>
      <c r="BD20" s="10">
        <v>60.06</v>
      </c>
      <c r="BE20" s="10">
        <v>5.5410000000000004</v>
      </c>
      <c r="BF20" s="10">
        <v>48.8</v>
      </c>
      <c r="BG20" s="10">
        <v>70.599999999999994</v>
      </c>
      <c r="BI20" t="s">
        <v>42</v>
      </c>
      <c r="BJ20" s="10">
        <v>56.997</v>
      </c>
      <c r="BK20" s="10">
        <v>5.4649999999999999</v>
      </c>
      <c r="BL20" s="10">
        <v>46.3</v>
      </c>
      <c r="BM20" s="10">
        <v>67.599999999999994</v>
      </c>
      <c r="BO20" t="s">
        <v>42</v>
      </c>
      <c r="BP20" s="10">
        <v>50.58</v>
      </c>
      <c r="BQ20" s="10">
        <v>5.4589999999999996</v>
      </c>
      <c r="BR20" s="10">
        <v>39.5</v>
      </c>
      <c r="BS20" s="10">
        <v>61</v>
      </c>
    </row>
    <row r="21" spans="1:71" x14ac:dyDescent="0.25">
      <c r="A21" t="s">
        <v>21</v>
      </c>
      <c r="B21" s="8">
        <v>10.140599552755747</v>
      </c>
      <c r="C21" s="8">
        <v>0.76323185719951048</v>
      </c>
      <c r="D21" s="8">
        <v>8.6446651126447058</v>
      </c>
      <c r="E21" s="8">
        <v>11.636533992866788</v>
      </c>
      <c r="G21" t="s">
        <v>21</v>
      </c>
      <c r="H21" s="10">
        <v>0.186</v>
      </c>
      <c r="I21" s="10">
        <v>0.32100000000000001</v>
      </c>
      <c r="J21" s="10">
        <v>0</v>
      </c>
      <c r="K21" s="10">
        <v>1.1000000000000001</v>
      </c>
      <c r="M21" t="s">
        <v>21</v>
      </c>
      <c r="N21" s="10">
        <v>0.28000000000000003</v>
      </c>
      <c r="O21" s="10">
        <v>0.45400000000000001</v>
      </c>
      <c r="P21" s="10">
        <v>0</v>
      </c>
      <c r="Q21" s="10">
        <v>1.6</v>
      </c>
      <c r="S21" t="s">
        <v>21</v>
      </c>
      <c r="T21" s="10">
        <v>0.17799999999999999</v>
      </c>
      <c r="U21" s="10">
        <v>0.30299999999999999</v>
      </c>
      <c r="V21" s="10">
        <v>0</v>
      </c>
      <c r="W21" s="10">
        <v>1</v>
      </c>
      <c r="Y21" t="s">
        <v>21</v>
      </c>
      <c r="Z21">
        <v>0.17</v>
      </c>
      <c r="AA21">
        <v>0.29599999999999999</v>
      </c>
      <c r="AB21">
        <v>0</v>
      </c>
      <c r="AC21">
        <v>1</v>
      </c>
      <c r="AE21" t="s">
        <v>21</v>
      </c>
      <c r="AF21" s="10">
        <v>0.85899999999999999</v>
      </c>
      <c r="AG21" s="10">
        <v>0.98299999999999998</v>
      </c>
      <c r="AH21" s="10">
        <v>0</v>
      </c>
      <c r="AI21" s="10">
        <v>3.6</v>
      </c>
      <c r="AK21" t="s">
        <v>21</v>
      </c>
      <c r="AL21" s="10">
        <v>7.3140000000000001</v>
      </c>
      <c r="AM21" s="10">
        <v>2.7629999999999999</v>
      </c>
      <c r="AN21" s="10">
        <v>2.4</v>
      </c>
      <c r="AO21" s="10">
        <v>13.1</v>
      </c>
      <c r="AQ21" t="s">
        <v>21</v>
      </c>
      <c r="AR21" s="10">
        <v>6.4169999999999998</v>
      </c>
      <c r="AS21" s="10">
        <v>2.9969999999999999</v>
      </c>
      <c r="AT21" s="10">
        <v>1.5</v>
      </c>
      <c r="AU21" s="10">
        <v>12.7</v>
      </c>
      <c r="AW21" t="s">
        <v>21</v>
      </c>
      <c r="AX21" s="10">
        <v>28.716000000000001</v>
      </c>
      <c r="AY21" s="10">
        <v>5.6660000000000004</v>
      </c>
      <c r="AZ21" s="10">
        <v>17.998000000000001</v>
      </c>
      <c r="BA21" s="10">
        <v>40</v>
      </c>
      <c r="BC21" t="s">
        <v>21</v>
      </c>
      <c r="BD21" s="10">
        <v>39.94</v>
      </c>
      <c r="BE21" s="10">
        <v>5.5410000000000004</v>
      </c>
      <c r="BF21" s="10">
        <v>29.4</v>
      </c>
      <c r="BG21" s="10">
        <v>51.2</v>
      </c>
      <c r="BI21" t="s">
        <v>21</v>
      </c>
      <c r="BJ21" s="10">
        <v>43.003</v>
      </c>
      <c r="BK21" s="10">
        <v>5.4649999999999999</v>
      </c>
      <c r="BL21" s="10">
        <v>32.398000000000003</v>
      </c>
      <c r="BM21" s="10">
        <v>53.7</v>
      </c>
      <c r="BO21" t="s">
        <v>21</v>
      </c>
      <c r="BP21" s="10">
        <v>49.42</v>
      </c>
      <c r="BQ21" s="10">
        <v>5.4589999999999996</v>
      </c>
      <c r="BR21" s="10">
        <v>39</v>
      </c>
      <c r="BS21" s="10">
        <v>60.5</v>
      </c>
    </row>
    <row r="23" spans="1:71" x14ac:dyDescent="0.25">
      <c r="A23" s="5" t="s">
        <v>127</v>
      </c>
      <c r="G23" s="16" t="s">
        <v>195</v>
      </c>
    </row>
    <row r="24" spans="1:71" x14ac:dyDescent="0.25">
      <c r="A24" t="s">
        <v>64</v>
      </c>
      <c r="B24" s="6" t="s">
        <v>73</v>
      </c>
      <c r="C24" s="6" t="s">
        <v>34</v>
      </c>
      <c r="D24" s="14" t="s">
        <v>35</v>
      </c>
      <c r="E24" s="14"/>
      <c r="G24" s="16" t="s">
        <v>196</v>
      </c>
    </row>
    <row r="25" spans="1:71" x14ac:dyDescent="0.25">
      <c r="A25" t="s">
        <v>9</v>
      </c>
      <c r="B25" s="8">
        <v>98.097447468869021</v>
      </c>
      <c r="C25" s="8">
        <v>0.642216200881503</v>
      </c>
      <c r="D25" s="8">
        <v>96.838703715141278</v>
      </c>
      <c r="E25" s="8">
        <v>99.356191222596763</v>
      </c>
      <c r="G25" s="17" t="s">
        <v>197</v>
      </c>
    </row>
    <row r="26" spans="1:71" x14ac:dyDescent="0.25">
      <c r="A26" s="6" t="s">
        <v>10</v>
      </c>
      <c r="B26" s="8">
        <v>84.143398268752165</v>
      </c>
      <c r="C26" s="8">
        <v>2.7417003956140817</v>
      </c>
      <c r="D26" s="8">
        <v>78.769665493348569</v>
      </c>
      <c r="E26" s="8">
        <v>89.517131044155761</v>
      </c>
      <c r="G26" s="18" t="s">
        <v>198</v>
      </c>
    </row>
    <row r="27" spans="1:71" x14ac:dyDescent="0.25">
      <c r="A27" s="6" t="s">
        <v>101</v>
      </c>
      <c r="B27" s="8">
        <v>13.903379910398652</v>
      </c>
      <c r="C27" s="8">
        <v>2.7998079437046375</v>
      </c>
      <c r="D27" s="8">
        <v>8.4157563407375626</v>
      </c>
      <c r="E27" s="8">
        <v>19.391003480059741</v>
      </c>
      <c r="G27" s="18" t="s">
        <v>199</v>
      </c>
    </row>
    <row r="28" spans="1:71" x14ac:dyDescent="0.25">
      <c r="A28" s="9" t="s">
        <v>126</v>
      </c>
      <c r="B28" s="8">
        <v>11.293354895654909</v>
      </c>
      <c r="C28" s="8">
        <v>2.872243310413241</v>
      </c>
      <c r="D28" s="8">
        <v>5.6637580072449571</v>
      </c>
      <c r="E28" s="8">
        <v>16.92295178406486</v>
      </c>
      <c r="G28" s="18" t="s">
        <v>200</v>
      </c>
    </row>
    <row r="29" spans="1:71" x14ac:dyDescent="0.25">
      <c r="A29" s="9" t="s">
        <v>103</v>
      </c>
      <c r="B29" s="8">
        <v>2.6057380412193267</v>
      </c>
      <c r="C29" s="8">
        <v>1.0725950645806011</v>
      </c>
      <c r="D29" s="8">
        <v>0.50345171464134886</v>
      </c>
      <c r="E29" s="8">
        <v>4.7080243677973046</v>
      </c>
      <c r="G29" s="16" t="s">
        <v>201</v>
      </c>
    </row>
    <row r="30" spans="1:71" x14ac:dyDescent="0.25">
      <c r="A30" t="s">
        <v>11</v>
      </c>
      <c r="B30" s="8">
        <v>1.9025525311309999</v>
      </c>
      <c r="C30" s="8">
        <v>0.64203531610755071</v>
      </c>
      <c r="D30" s="8">
        <v>0.64416331156020057</v>
      </c>
      <c r="E30" s="8">
        <v>3.1609417507017992</v>
      </c>
      <c r="G30" s="16" t="s">
        <v>202</v>
      </c>
    </row>
    <row r="31" spans="1:71" x14ac:dyDescent="0.25">
      <c r="A31" s="6" t="s">
        <v>103</v>
      </c>
      <c r="B31" s="8">
        <v>0.6432637573479083</v>
      </c>
      <c r="C31" s="8">
        <v>0.51812857464547246</v>
      </c>
      <c r="D31" s="8">
        <v>0</v>
      </c>
      <c r="E31" s="8">
        <v>1.6587957636530344</v>
      </c>
      <c r="G31" s="16" t="s">
        <v>203</v>
      </c>
    </row>
    <row r="32" spans="1:71" x14ac:dyDescent="0.25">
      <c r="A32" s="6" t="s">
        <v>38</v>
      </c>
      <c r="B32" s="8">
        <v>0.6324730299486816</v>
      </c>
      <c r="C32" s="8">
        <v>0.3668279795752511</v>
      </c>
      <c r="D32" s="8">
        <v>0</v>
      </c>
      <c r="E32" s="8">
        <v>1.3514558699161738</v>
      </c>
      <c r="G32" s="16" t="s">
        <v>204</v>
      </c>
    </row>
    <row r="33" spans="1:7" x14ac:dyDescent="0.25">
      <c r="A33" s="6" t="s">
        <v>104</v>
      </c>
      <c r="B33" s="8">
        <v>0.49825936241637225</v>
      </c>
      <c r="C33" s="8">
        <v>0.22434651341503731</v>
      </c>
      <c r="D33" s="8">
        <v>5.8540196122899124E-2</v>
      </c>
      <c r="E33" s="8">
        <v>0.93797852870984544</v>
      </c>
      <c r="G33" s="16" t="s">
        <v>205</v>
      </c>
    </row>
    <row r="34" spans="1:7" x14ac:dyDescent="0.25">
      <c r="A34" s="9" t="s">
        <v>14</v>
      </c>
      <c r="B34" s="8">
        <v>9.4840063959080623E-2</v>
      </c>
      <c r="C34" s="8">
        <v>0.11940631222239613</v>
      </c>
      <c r="D34" s="8">
        <v>0</v>
      </c>
      <c r="E34" s="8">
        <v>0.32887643591497706</v>
      </c>
      <c r="G34" s="16" t="s">
        <v>206</v>
      </c>
    </row>
    <row r="35" spans="1:7" x14ac:dyDescent="0.25">
      <c r="A35" s="9" t="s">
        <v>15</v>
      </c>
      <c r="B35" s="8">
        <v>0.4112405124168797</v>
      </c>
      <c r="C35" s="8">
        <v>0.20556498053197728</v>
      </c>
      <c r="D35" s="8">
        <v>8.3331505742042511E-3</v>
      </c>
      <c r="E35" s="8">
        <v>0.81414787425955515</v>
      </c>
      <c r="G35" s="16" t="s">
        <v>207</v>
      </c>
    </row>
    <row r="36" spans="1:7" x14ac:dyDescent="0.25">
      <c r="A36" s="6" t="s">
        <v>105</v>
      </c>
      <c r="B36" s="8">
        <v>0.1694304535208504</v>
      </c>
      <c r="C36" s="8">
        <v>0.11253923721325251</v>
      </c>
      <c r="D36" s="8">
        <v>0</v>
      </c>
      <c r="E36" s="8">
        <v>0.39000735845882528</v>
      </c>
      <c r="G36" s="16" t="s">
        <v>208</v>
      </c>
    </row>
    <row r="37" spans="1:7" x14ac:dyDescent="0.25">
      <c r="A37" s="9" t="s">
        <v>17</v>
      </c>
      <c r="B37" s="8">
        <v>0.14052370895009908</v>
      </c>
      <c r="C37" s="8">
        <v>9.6954084813262953E-2</v>
      </c>
      <c r="D37" s="8">
        <v>0</v>
      </c>
      <c r="E37" s="8">
        <v>0.33055371518409449</v>
      </c>
      <c r="G37" s="16" t="s">
        <v>209</v>
      </c>
    </row>
    <row r="38" spans="1:7" x14ac:dyDescent="0.25">
      <c r="A38" s="9" t="s">
        <v>18</v>
      </c>
      <c r="B38" s="8">
        <v>3.5132652508916715E-2</v>
      </c>
      <c r="C38" s="8">
        <v>5.8248817640080615E-2</v>
      </c>
      <c r="D38" s="8">
        <v>0</v>
      </c>
      <c r="E38" s="8">
        <v>0.14930033508347473</v>
      </c>
      <c r="G38" s="16" t="s">
        <v>210</v>
      </c>
    </row>
    <row r="39" spans="1:7" x14ac:dyDescent="0.25">
      <c r="A39" t="s">
        <v>41</v>
      </c>
      <c r="B39" s="8">
        <v>1.2631148906707923</v>
      </c>
      <c r="C39" s="8">
        <v>0.6246667720484993</v>
      </c>
      <c r="D39" s="8">
        <v>3.8768017455733661E-2</v>
      </c>
      <c r="E39" s="8">
        <v>2.4874617638858512</v>
      </c>
      <c r="G39" s="16" t="s">
        <v>211</v>
      </c>
    </row>
    <row r="40" spans="1:7" x14ac:dyDescent="0.25">
      <c r="A40" t="s">
        <v>106</v>
      </c>
      <c r="B40" s="8">
        <v>0.5650134960200357</v>
      </c>
      <c r="C40" s="8">
        <v>0.22630996739913364</v>
      </c>
      <c r="D40" s="8">
        <v>0.12144595991773377</v>
      </c>
      <c r="E40" s="8">
        <v>1.0085810321223376</v>
      </c>
      <c r="G40" s="16" t="s">
        <v>212</v>
      </c>
    </row>
    <row r="41" spans="1:7" x14ac:dyDescent="0.25">
      <c r="A41" t="s">
        <v>22</v>
      </c>
      <c r="B41" s="8">
        <v>1.2692657239317695</v>
      </c>
      <c r="C41" s="8">
        <v>0.39789269390932136</v>
      </c>
      <c r="D41" s="8">
        <v>0.48939604386949964</v>
      </c>
      <c r="E41" s="8">
        <v>2.0491354039940393</v>
      </c>
      <c r="G41" s="19" t="s">
        <v>213</v>
      </c>
    </row>
    <row r="42" spans="1:7" x14ac:dyDescent="0.25">
      <c r="A42" t="s">
        <v>42</v>
      </c>
      <c r="B42" s="8">
        <v>99.349060140367186</v>
      </c>
      <c r="C42" s="8">
        <v>0.24359214294757786</v>
      </c>
      <c r="D42" s="8">
        <v>98.87161954018994</v>
      </c>
      <c r="E42" s="8">
        <v>99.826500740544432</v>
      </c>
    </row>
    <row r="43" spans="1:7" x14ac:dyDescent="0.25">
      <c r="A43" t="s">
        <v>21</v>
      </c>
      <c r="B43" s="8">
        <v>0.65093985963282175</v>
      </c>
      <c r="C43" s="8">
        <v>0.24361237762853449</v>
      </c>
      <c r="D43" s="8">
        <v>0.17345959948089418</v>
      </c>
      <c r="E43" s="8">
        <v>1.1284201197847494</v>
      </c>
    </row>
    <row r="44" spans="1:7" x14ac:dyDescent="0.25">
      <c r="B44" s="11"/>
      <c r="C44" s="11"/>
      <c r="D44" s="11"/>
      <c r="E44" s="11"/>
    </row>
    <row r="45" spans="1:7" x14ac:dyDescent="0.25">
      <c r="A45" s="5" t="s">
        <v>108</v>
      </c>
    </row>
    <row r="46" spans="1:7" x14ac:dyDescent="0.25">
      <c r="A46" t="s">
        <v>64</v>
      </c>
      <c r="B46" s="6" t="s">
        <v>73</v>
      </c>
      <c r="C46" s="6" t="s">
        <v>34</v>
      </c>
      <c r="D46" s="14" t="s">
        <v>35</v>
      </c>
      <c r="E46" s="14"/>
    </row>
    <row r="47" spans="1:7" x14ac:dyDescent="0.25">
      <c r="A47" t="s">
        <v>9</v>
      </c>
      <c r="B47" s="8">
        <v>13.904959458507072</v>
      </c>
      <c r="C47" s="8">
        <v>1.3008321215184679</v>
      </c>
      <c r="D47" s="8">
        <v>11.355328500330875</v>
      </c>
      <c r="E47" s="8">
        <v>16.454590416683271</v>
      </c>
    </row>
    <row r="48" spans="1:7" x14ac:dyDescent="0.25">
      <c r="A48" s="6" t="s">
        <v>10</v>
      </c>
      <c r="B48" s="8">
        <v>7.4416131233792111</v>
      </c>
      <c r="C48" s="8">
        <v>1.0096129954596238</v>
      </c>
      <c r="D48" s="8">
        <v>5.4627716522783487</v>
      </c>
      <c r="E48" s="8">
        <v>9.4204545944800735</v>
      </c>
    </row>
    <row r="49" spans="1:5" x14ac:dyDescent="0.25">
      <c r="A49" s="6" t="s">
        <v>101</v>
      </c>
      <c r="B49" s="8">
        <v>6.4639454120239392</v>
      </c>
      <c r="C49" s="8">
        <v>1.291093453056811</v>
      </c>
      <c r="D49" s="8">
        <v>3.9334022440325898</v>
      </c>
      <c r="E49" s="8">
        <v>8.9944885800152896</v>
      </c>
    </row>
    <row r="50" spans="1:5" x14ac:dyDescent="0.25">
      <c r="A50" s="9" t="s">
        <v>126</v>
      </c>
      <c r="B50" s="8">
        <v>3.8550885592933901</v>
      </c>
      <c r="C50" s="8">
        <v>0.99893362493018878</v>
      </c>
      <c r="D50" s="8">
        <v>1.89717865443022</v>
      </c>
      <c r="E50" s="8">
        <v>5.8129984641565606</v>
      </c>
    </row>
    <row r="51" spans="1:5" x14ac:dyDescent="0.25">
      <c r="A51" s="9" t="s">
        <v>103</v>
      </c>
      <c r="B51" s="8">
        <v>2.6159042750728863</v>
      </c>
      <c r="C51" s="8">
        <v>1.0286797567628487</v>
      </c>
      <c r="D51" s="8">
        <v>0.59969195181770285</v>
      </c>
      <c r="E51" s="8">
        <v>4.6321165983280697</v>
      </c>
    </row>
    <row r="52" spans="1:5" x14ac:dyDescent="0.25">
      <c r="A52" t="s">
        <v>11</v>
      </c>
      <c r="B52" s="8">
        <v>86.095040541492949</v>
      </c>
      <c r="C52" s="8">
        <v>1.3007952438201436</v>
      </c>
      <c r="D52" s="8">
        <v>83.545481863605474</v>
      </c>
      <c r="E52" s="8">
        <v>88.644599219380424</v>
      </c>
    </row>
    <row r="53" spans="1:5" x14ac:dyDescent="0.25">
      <c r="A53" s="6" t="s">
        <v>103</v>
      </c>
      <c r="B53" s="8">
        <v>13.208812693901443</v>
      </c>
      <c r="C53" s="8">
        <v>1.4430260402393031</v>
      </c>
      <c r="D53" s="8">
        <v>10.380481655032408</v>
      </c>
      <c r="E53" s="8">
        <v>16.037143732770478</v>
      </c>
    </row>
    <row r="54" spans="1:5" x14ac:dyDescent="0.25">
      <c r="A54" s="6" t="s">
        <v>38</v>
      </c>
      <c r="B54" s="8">
        <v>38.532110956573256</v>
      </c>
      <c r="C54" s="8">
        <v>2.9181304316148875</v>
      </c>
      <c r="D54" s="8">
        <v>32.812575310608075</v>
      </c>
      <c r="E54" s="8">
        <v>44.251646602538436</v>
      </c>
    </row>
    <row r="55" spans="1:5" x14ac:dyDescent="0.25">
      <c r="A55" s="6" t="s">
        <v>104</v>
      </c>
      <c r="B55" s="8">
        <v>18.781022333994475</v>
      </c>
      <c r="C55" s="8">
        <v>2.5343660213870196</v>
      </c>
      <c r="D55" s="8">
        <v>13.813664932075916</v>
      </c>
      <c r="E55" s="8">
        <v>23.748379735913034</v>
      </c>
    </row>
    <row r="56" spans="1:5" x14ac:dyDescent="0.25">
      <c r="A56" s="9" t="s">
        <v>14</v>
      </c>
      <c r="B56" s="8">
        <v>6.8180436928184012</v>
      </c>
      <c r="C56" s="8">
        <v>1.9445526851010873</v>
      </c>
      <c r="D56" s="8">
        <v>3.0067204300202701</v>
      </c>
      <c r="E56" s="8">
        <v>10.629366955616533</v>
      </c>
    </row>
    <row r="57" spans="1:5" x14ac:dyDescent="0.25">
      <c r="A57" s="9" t="s">
        <v>15</v>
      </c>
      <c r="B57" s="8">
        <v>11.965387135515627</v>
      </c>
      <c r="C57" s="8">
        <v>1.9650490277705193</v>
      </c>
      <c r="D57" s="8">
        <v>8.1138910410854095</v>
      </c>
      <c r="E57" s="8">
        <v>15.816883229945844</v>
      </c>
    </row>
    <row r="58" spans="1:5" x14ac:dyDescent="0.25">
      <c r="A58" s="6" t="s">
        <v>105</v>
      </c>
      <c r="B58" s="8">
        <v>15.561042284718155</v>
      </c>
      <c r="C58" s="8">
        <v>1.1842942234666725</v>
      </c>
      <c r="D58" s="8">
        <v>13.239825606723478</v>
      </c>
      <c r="E58" s="8">
        <v>17.882258962712832</v>
      </c>
    </row>
    <row r="59" spans="1:5" x14ac:dyDescent="0.25">
      <c r="A59" s="9" t="s">
        <v>17</v>
      </c>
      <c r="B59" s="8">
        <v>14.399081536051826</v>
      </c>
      <c r="C59" s="8">
        <v>1.1346084541759662</v>
      </c>
      <c r="D59" s="8">
        <v>12.175248965866931</v>
      </c>
      <c r="E59" s="8">
        <v>16.62291410623672</v>
      </c>
    </row>
    <row r="60" spans="1:5" x14ac:dyDescent="0.25">
      <c r="A60" s="9" t="s">
        <v>18</v>
      </c>
      <c r="B60" s="8">
        <v>1.1646408769055738</v>
      </c>
      <c r="C60" s="8">
        <v>0.37521191293624029</v>
      </c>
      <c r="D60" s="8">
        <v>0.42922552755054288</v>
      </c>
      <c r="E60" s="8">
        <v>1.9000562262606047</v>
      </c>
    </row>
    <row r="61" spans="1:5" x14ac:dyDescent="0.25">
      <c r="A61" t="s">
        <v>41</v>
      </c>
      <c r="B61" s="8">
        <v>51.736210997852623</v>
      </c>
      <c r="C61" s="8">
        <v>2.8356396866654916</v>
      </c>
      <c r="D61" s="8">
        <v>46.178357211988256</v>
      </c>
      <c r="E61" s="8">
        <v>57.294064783716991</v>
      </c>
    </row>
    <row r="62" spans="1:5" x14ac:dyDescent="0.25">
      <c r="A62" t="s">
        <v>106</v>
      </c>
      <c r="B62" s="8">
        <v>27.529893620112105</v>
      </c>
      <c r="C62" s="8">
        <v>2.175385914331204</v>
      </c>
      <c r="D62" s="8">
        <v>23.266137228022945</v>
      </c>
      <c r="E62" s="8">
        <v>31.793650012201265</v>
      </c>
    </row>
    <row r="63" spans="1:5" x14ac:dyDescent="0.25">
      <c r="A63" t="s">
        <v>22</v>
      </c>
      <c r="B63" s="8">
        <v>72.883105866413132</v>
      </c>
      <c r="C63" s="8">
        <v>1.7422413737555722</v>
      </c>
      <c r="D63" s="8">
        <v>69.468312773852205</v>
      </c>
      <c r="E63" s="8">
        <v>76.297898958974059</v>
      </c>
    </row>
    <row r="64" spans="1:5" x14ac:dyDescent="0.25">
      <c r="A64" t="s">
        <v>42</v>
      </c>
      <c r="B64" s="8">
        <v>65.651031700234299</v>
      </c>
      <c r="C64" s="8">
        <v>2.6380306072066633</v>
      </c>
      <c r="D64" s="8">
        <v>60.480491710109241</v>
      </c>
      <c r="E64" s="8">
        <v>70.821571690359363</v>
      </c>
    </row>
    <row r="65" spans="1:5" x14ac:dyDescent="0.25">
      <c r="A65" t="s">
        <v>21</v>
      </c>
      <c r="B65" s="8">
        <v>34.348968299765701</v>
      </c>
      <c r="C65" s="8">
        <v>2.6380436216746261</v>
      </c>
      <c r="D65" s="8">
        <v>29.178402801283433</v>
      </c>
      <c r="E65" s="8">
        <v>39.51953379824797</v>
      </c>
    </row>
  </sheetData>
  <mergeCells count="14">
    <mergeCell ref="V2:W2"/>
    <mergeCell ref="D2:E2"/>
    <mergeCell ref="D24:E24"/>
    <mergeCell ref="D46:E46"/>
    <mergeCell ref="J2:K2"/>
    <mergeCell ref="P2:Q2"/>
    <mergeCell ref="BL2:BM2"/>
    <mergeCell ref="BR2:BS2"/>
    <mergeCell ref="AB2:AC2"/>
    <mergeCell ref="AH2:AI2"/>
    <mergeCell ref="AN2:AO2"/>
    <mergeCell ref="AT2:AU2"/>
    <mergeCell ref="AZ2:BA2"/>
    <mergeCell ref="BF2:B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F66D4-E8DE-4995-B22D-10BD53AD4F8B}">
  <dimension ref="A1:BM65"/>
  <sheetViews>
    <sheetView workbookViewId="0"/>
  </sheetViews>
  <sheetFormatPr defaultRowHeight="15" x14ac:dyDescent="0.25"/>
  <cols>
    <col min="1" max="1" width="21.28515625" customWidth="1"/>
  </cols>
  <sheetData>
    <row r="1" spans="1:65" x14ac:dyDescent="0.25">
      <c r="A1" s="5" t="s">
        <v>139</v>
      </c>
      <c r="G1" t="s">
        <v>141</v>
      </c>
      <c r="I1" t="s">
        <v>110</v>
      </c>
      <c r="M1" t="s">
        <v>142</v>
      </c>
      <c r="O1" t="s">
        <v>110</v>
      </c>
      <c r="S1" t="s">
        <v>143</v>
      </c>
      <c r="U1" t="s">
        <v>110</v>
      </c>
      <c r="Y1" t="s">
        <v>144</v>
      </c>
      <c r="AA1" t="s">
        <v>110</v>
      </c>
      <c r="AE1" t="s">
        <v>145</v>
      </c>
      <c r="AG1" t="s">
        <v>110</v>
      </c>
      <c r="AK1" t="s">
        <v>146</v>
      </c>
      <c r="AM1" t="s">
        <v>110</v>
      </c>
      <c r="AQ1" t="s">
        <v>147</v>
      </c>
      <c r="AS1" t="s">
        <v>110</v>
      </c>
      <c r="AW1" t="s">
        <v>148</v>
      </c>
      <c r="AY1" t="s">
        <v>110</v>
      </c>
      <c r="BC1" t="s">
        <v>149</v>
      </c>
      <c r="BE1" t="s">
        <v>110</v>
      </c>
      <c r="BI1" t="s">
        <v>123</v>
      </c>
      <c r="BK1" t="s">
        <v>150</v>
      </c>
    </row>
    <row r="2" spans="1:65" x14ac:dyDescent="0.25">
      <c r="A2" t="s">
        <v>64</v>
      </c>
      <c r="B2" s="6" t="s">
        <v>73</v>
      </c>
      <c r="C2" s="6" t="s">
        <v>34</v>
      </c>
      <c r="D2" s="14" t="s">
        <v>35</v>
      </c>
      <c r="E2" s="14"/>
      <c r="G2" t="s">
        <v>64</v>
      </c>
      <c r="H2" t="s">
        <v>65</v>
      </c>
      <c r="I2" t="s">
        <v>34</v>
      </c>
      <c r="J2" s="14" t="s">
        <v>111</v>
      </c>
      <c r="K2" s="14"/>
      <c r="M2" t="s">
        <v>64</v>
      </c>
      <c r="N2" t="s">
        <v>65</v>
      </c>
      <c r="O2" t="s">
        <v>34</v>
      </c>
      <c r="P2" s="14" t="s">
        <v>111</v>
      </c>
      <c r="Q2" s="14"/>
      <c r="S2" t="s">
        <v>64</v>
      </c>
      <c r="T2" t="s">
        <v>65</v>
      </c>
      <c r="U2" t="s">
        <v>34</v>
      </c>
      <c r="V2" s="14" t="s">
        <v>111</v>
      </c>
      <c r="W2" s="14"/>
      <c r="Y2" t="s">
        <v>64</v>
      </c>
      <c r="Z2" t="s">
        <v>65</v>
      </c>
      <c r="AA2" t="s">
        <v>34</v>
      </c>
      <c r="AB2" s="14" t="s">
        <v>111</v>
      </c>
      <c r="AC2" s="14"/>
      <c r="AE2" t="s">
        <v>64</v>
      </c>
      <c r="AF2" t="s">
        <v>65</v>
      </c>
      <c r="AG2" t="s">
        <v>34</v>
      </c>
      <c r="AH2" s="14" t="s">
        <v>111</v>
      </c>
      <c r="AI2" s="14"/>
      <c r="AK2" t="s">
        <v>64</v>
      </c>
      <c r="AL2" t="s">
        <v>65</v>
      </c>
      <c r="AM2" t="s">
        <v>34</v>
      </c>
      <c r="AN2" s="14" t="s">
        <v>111</v>
      </c>
      <c r="AO2" s="14"/>
      <c r="AQ2" t="s">
        <v>64</v>
      </c>
      <c r="AR2" t="s">
        <v>65</v>
      </c>
      <c r="AS2" t="s">
        <v>34</v>
      </c>
      <c r="AT2" s="14" t="s">
        <v>111</v>
      </c>
      <c r="AU2" s="14"/>
      <c r="AW2" t="s">
        <v>64</v>
      </c>
      <c r="AX2" t="s">
        <v>65</v>
      </c>
      <c r="AY2" t="s">
        <v>34</v>
      </c>
      <c r="AZ2" s="14" t="s">
        <v>111</v>
      </c>
      <c r="BA2" s="14"/>
      <c r="BC2" t="s">
        <v>64</v>
      </c>
      <c r="BD2" t="s">
        <v>65</v>
      </c>
      <c r="BE2" t="s">
        <v>34</v>
      </c>
      <c r="BF2" s="14" t="s">
        <v>111</v>
      </c>
      <c r="BG2" s="14"/>
      <c r="BI2" t="s">
        <v>64</v>
      </c>
      <c r="BJ2" t="s">
        <v>65</v>
      </c>
      <c r="BK2" t="s">
        <v>34</v>
      </c>
      <c r="BL2" s="14" t="s">
        <v>111</v>
      </c>
      <c r="BM2" s="14"/>
    </row>
    <row r="3" spans="1:65" x14ac:dyDescent="0.25">
      <c r="A3" t="s">
        <v>9</v>
      </c>
      <c r="B3" s="8">
        <v>79.587728591918918</v>
      </c>
      <c r="C3" s="8">
        <v>0.51013525876491517</v>
      </c>
      <c r="D3" s="8">
        <v>78.587863484739685</v>
      </c>
      <c r="E3" s="8">
        <v>80.58759369909815</v>
      </c>
      <c r="G3" t="s">
        <v>9</v>
      </c>
      <c r="H3" s="11">
        <v>99.748999999999995</v>
      </c>
      <c r="I3" s="11">
        <v>0.35799999999999998</v>
      </c>
      <c r="J3" s="11">
        <v>98.7</v>
      </c>
      <c r="K3" s="11">
        <v>100</v>
      </c>
      <c r="M3" t="s">
        <v>9</v>
      </c>
      <c r="N3" s="11">
        <v>99.480999999999995</v>
      </c>
      <c r="O3" s="11">
        <v>0.68500000000000005</v>
      </c>
      <c r="P3" s="11">
        <v>97.5</v>
      </c>
      <c r="Q3" s="11">
        <v>100</v>
      </c>
      <c r="S3" t="s">
        <v>9</v>
      </c>
      <c r="T3" s="11">
        <v>98.73</v>
      </c>
      <c r="U3" s="11">
        <v>1.097</v>
      </c>
      <c r="V3" s="11">
        <v>95.9</v>
      </c>
      <c r="W3" s="11">
        <v>100</v>
      </c>
      <c r="Y3" t="s">
        <v>9</v>
      </c>
      <c r="Z3" s="11">
        <v>99.584999999999994</v>
      </c>
      <c r="AA3" s="11">
        <v>0.60499999999999998</v>
      </c>
      <c r="AB3" s="11">
        <v>97.8</v>
      </c>
      <c r="AC3" s="11">
        <v>100</v>
      </c>
      <c r="AE3" t="s">
        <v>9</v>
      </c>
      <c r="AF3" s="11">
        <v>95.120999999999995</v>
      </c>
      <c r="AG3" s="11">
        <v>2.5009999999999999</v>
      </c>
      <c r="AH3" s="11">
        <v>89.5</v>
      </c>
      <c r="AI3" s="11">
        <v>99.1</v>
      </c>
      <c r="AK3" t="s">
        <v>9</v>
      </c>
      <c r="AL3" s="11">
        <v>73.200999999999993</v>
      </c>
      <c r="AM3" s="11">
        <v>3.9529999999999998</v>
      </c>
      <c r="AN3" s="11">
        <v>65.3</v>
      </c>
      <c r="AO3" s="11">
        <v>80.7</v>
      </c>
      <c r="AQ3" t="s">
        <v>9</v>
      </c>
      <c r="AR3" s="11">
        <v>21.344000000000001</v>
      </c>
      <c r="AS3" s="11">
        <v>3.9079999999999999</v>
      </c>
      <c r="AT3" s="11">
        <v>14.1</v>
      </c>
      <c r="AU3" s="11">
        <v>29.3</v>
      </c>
      <c r="AW3" t="s">
        <v>9</v>
      </c>
      <c r="AX3" s="11">
        <v>11.086</v>
      </c>
      <c r="AY3" s="11">
        <v>3.101</v>
      </c>
      <c r="AZ3" s="11">
        <v>5.798</v>
      </c>
      <c r="BA3" s="11">
        <v>17.7</v>
      </c>
      <c r="BC3" t="s">
        <v>9</v>
      </c>
      <c r="BD3" s="11">
        <v>1.847</v>
      </c>
      <c r="BE3" s="11">
        <v>1.3720000000000001</v>
      </c>
      <c r="BF3" s="11">
        <v>0.2</v>
      </c>
      <c r="BG3" s="11">
        <v>5.5</v>
      </c>
      <c r="BI3" t="s">
        <v>9</v>
      </c>
      <c r="BJ3" s="11">
        <v>9.077</v>
      </c>
      <c r="BK3" s="11">
        <v>4.1210000000000004</v>
      </c>
      <c r="BL3" s="11">
        <v>2.2000000000000002</v>
      </c>
      <c r="BM3" s="11">
        <v>17.7</v>
      </c>
    </row>
    <row r="4" spans="1:65" x14ac:dyDescent="0.25">
      <c r="A4" s="6" t="s">
        <v>10</v>
      </c>
      <c r="B4" s="8">
        <v>69.024465372965196</v>
      </c>
      <c r="C4" s="8">
        <v>1.8397342064350195</v>
      </c>
      <c r="D4" s="8">
        <v>65.418586328352561</v>
      </c>
      <c r="E4" s="8">
        <v>72.630344417577831</v>
      </c>
      <c r="G4" s="6" t="s">
        <v>10</v>
      </c>
      <c r="H4" s="11">
        <v>98.653999999999996</v>
      </c>
      <c r="I4" s="11">
        <v>1.9410000000000001</v>
      </c>
      <c r="J4" s="11">
        <v>93.1</v>
      </c>
      <c r="K4" s="11">
        <v>100</v>
      </c>
      <c r="M4" s="6" t="s">
        <v>10</v>
      </c>
      <c r="N4" s="11">
        <v>90.899000000000001</v>
      </c>
      <c r="O4" s="11">
        <v>6.0579999999999998</v>
      </c>
      <c r="P4" s="11">
        <v>76.8</v>
      </c>
      <c r="Q4" s="11">
        <v>98.4</v>
      </c>
      <c r="S4" s="6" t="s">
        <v>10</v>
      </c>
      <c r="T4" s="11">
        <v>96.894000000000005</v>
      </c>
      <c r="U4" s="11">
        <v>2.4870000000000001</v>
      </c>
      <c r="V4" s="11">
        <v>89.798000000000002</v>
      </c>
      <c r="W4" s="11">
        <v>99.7</v>
      </c>
      <c r="Y4" s="6" t="s">
        <v>10</v>
      </c>
      <c r="Z4" s="11">
        <v>82.174999999999997</v>
      </c>
      <c r="AA4" s="11">
        <v>5.915</v>
      </c>
      <c r="AB4" s="11">
        <v>68.7</v>
      </c>
      <c r="AC4" s="11">
        <v>91.4</v>
      </c>
      <c r="AE4" s="6" t="s">
        <v>10</v>
      </c>
      <c r="AF4" s="11">
        <v>59.706000000000003</v>
      </c>
      <c r="AG4" s="11">
        <v>6.7750000000000004</v>
      </c>
      <c r="AH4" s="11">
        <v>46.597999999999999</v>
      </c>
      <c r="AI4" s="11">
        <v>73</v>
      </c>
      <c r="AK4" s="6" t="s">
        <v>10</v>
      </c>
      <c r="AL4" s="11">
        <v>36.088000000000001</v>
      </c>
      <c r="AM4" s="11">
        <v>5.5380000000000003</v>
      </c>
      <c r="AN4" s="11">
        <v>25.7</v>
      </c>
      <c r="AO4" s="11">
        <v>47.6</v>
      </c>
      <c r="AQ4" s="6" t="s">
        <v>10</v>
      </c>
      <c r="AR4" s="11">
        <v>10.061</v>
      </c>
      <c r="AS4" s="11">
        <v>3.7029999999999998</v>
      </c>
      <c r="AT4" s="11">
        <v>2.4</v>
      </c>
      <c r="AU4" s="11">
        <v>16.7</v>
      </c>
      <c r="AW4" s="6" t="s">
        <v>10</v>
      </c>
      <c r="AX4" s="11">
        <v>6.3360000000000003</v>
      </c>
      <c r="AY4" s="11">
        <v>2.2570000000000001</v>
      </c>
      <c r="AZ4" s="11">
        <v>2</v>
      </c>
      <c r="BA4" s="11">
        <v>10.9</v>
      </c>
      <c r="BC4" s="6" t="s">
        <v>10</v>
      </c>
      <c r="BD4" s="11">
        <v>1.143</v>
      </c>
      <c r="BE4" s="11">
        <v>0.80600000000000005</v>
      </c>
      <c r="BF4" s="11">
        <v>0.1</v>
      </c>
      <c r="BG4" s="11">
        <v>3.1</v>
      </c>
      <c r="BI4" s="6" t="s">
        <v>10</v>
      </c>
      <c r="BJ4" s="11">
        <v>2.7120000000000002</v>
      </c>
      <c r="BK4" s="11">
        <v>1.6419999999999999</v>
      </c>
      <c r="BL4" s="11">
        <v>0.3</v>
      </c>
      <c r="BM4" s="11">
        <v>6.6</v>
      </c>
    </row>
    <row r="5" spans="1:65" x14ac:dyDescent="0.25">
      <c r="A5" s="6" t="s">
        <v>101</v>
      </c>
      <c r="B5" s="8">
        <v>10.523660182866564</v>
      </c>
      <c r="C5" s="8">
        <v>1.8725355130296506</v>
      </c>
      <c r="D5" s="8">
        <v>6.8534905773284489</v>
      </c>
      <c r="E5" s="8">
        <v>14.193829788404679</v>
      </c>
      <c r="G5" s="6" t="s">
        <v>101</v>
      </c>
      <c r="H5" s="11">
        <v>1.016</v>
      </c>
      <c r="I5" s="11">
        <v>1.911</v>
      </c>
      <c r="J5" s="11">
        <v>0</v>
      </c>
      <c r="K5" s="11">
        <v>6.7</v>
      </c>
      <c r="M5" s="6" t="s">
        <v>101</v>
      </c>
      <c r="N5" s="11">
        <v>8.5289999999999999</v>
      </c>
      <c r="O5" s="11">
        <v>6.0949999999999998</v>
      </c>
      <c r="P5" s="11">
        <v>1.1000000000000001</v>
      </c>
      <c r="Q5" s="11">
        <v>22.7</v>
      </c>
      <c r="S5" s="6" t="s">
        <v>101</v>
      </c>
      <c r="T5" s="11">
        <v>1.78</v>
      </c>
      <c r="U5" s="11">
        <v>2.4329999999999998</v>
      </c>
      <c r="V5" s="11">
        <v>0</v>
      </c>
      <c r="W5" s="11">
        <v>9.1999999999999993</v>
      </c>
      <c r="Y5" s="6" t="s">
        <v>101</v>
      </c>
      <c r="Z5" s="11">
        <v>17.356999999999999</v>
      </c>
      <c r="AA5" s="11">
        <v>5.9269999999999996</v>
      </c>
      <c r="AB5" s="11">
        <v>8.1999999999999993</v>
      </c>
      <c r="AC5" s="11">
        <v>31.1</v>
      </c>
      <c r="AE5" s="6" t="s">
        <v>101</v>
      </c>
      <c r="AF5" s="11">
        <v>35.396000000000001</v>
      </c>
      <c r="AG5" s="11">
        <v>7.266</v>
      </c>
      <c r="AH5" s="11">
        <v>21.3</v>
      </c>
      <c r="AI5" s="11">
        <v>49.3</v>
      </c>
      <c r="AK5" s="6" t="s">
        <v>101</v>
      </c>
      <c r="AL5" s="11">
        <v>37.109000000000002</v>
      </c>
      <c r="AM5" s="11">
        <v>6.55</v>
      </c>
      <c r="AN5" s="11">
        <v>24.2</v>
      </c>
      <c r="AO5" s="11">
        <v>49.7</v>
      </c>
      <c r="AQ5" s="6" t="s">
        <v>101</v>
      </c>
      <c r="AR5" s="11">
        <v>11.276</v>
      </c>
      <c r="AS5" s="11">
        <v>4.9619999999999997</v>
      </c>
      <c r="AT5" s="11">
        <v>3.2</v>
      </c>
      <c r="AU5" s="11">
        <v>22.5</v>
      </c>
      <c r="AW5" s="6" t="s">
        <v>101</v>
      </c>
      <c r="AX5" s="11">
        <v>4.7409999999999997</v>
      </c>
      <c r="AY5" s="11">
        <v>3.2559999999999998</v>
      </c>
      <c r="AZ5" s="11">
        <v>0</v>
      </c>
      <c r="BA5" s="11">
        <v>12.002000000000001</v>
      </c>
      <c r="BC5" s="6" t="s">
        <v>101</v>
      </c>
      <c r="BD5" s="11">
        <v>0.70799999999999996</v>
      </c>
      <c r="BE5" s="11">
        <v>1.147</v>
      </c>
      <c r="BF5" s="11">
        <v>0</v>
      </c>
      <c r="BG5" s="11">
        <v>4.2</v>
      </c>
      <c r="BI5" s="6" t="s">
        <v>101</v>
      </c>
      <c r="BJ5" s="11">
        <v>6.3579999999999997</v>
      </c>
      <c r="BK5" s="11">
        <v>4.4950000000000001</v>
      </c>
      <c r="BL5" s="11">
        <v>0</v>
      </c>
      <c r="BM5" s="11">
        <v>15.3</v>
      </c>
    </row>
    <row r="6" spans="1:65" x14ac:dyDescent="0.25">
      <c r="A6" s="9" t="s">
        <v>126</v>
      </c>
      <c r="B6" s="8">
        <v>8.6206902905173486</v>
      </c>
      <c r="C6" s="8">
        <v>2.0079547923539329</v>
      </c>
      <c r="D6" s="8">
        <v>4.6850988975036403</v>
      </c>
      <c r="E6" s="8">
        <v>12.556281683531058</v>
      </c>
      <c r="G6" s="9" t="s">
        <v>126</v>
      </c>
      <c r="H6" s="11">
        <v>0.72499999999999998</v>
      </c>
      <c r="I6" s="11">
        <v>1.7509999999999999</v>
      </c>
      <c r="J6" s="11">
        <v>0</v>
      </c>
      <c r="K6" s="11">
        <v>6.2</v>
      </c>
      <c r="M6" s="9" t="s">
        <v>126</v>
      </c>
      <c r="N6" s="11">
        <v>6.18</v>
      </c>
      <c r="O6" s="11">
        <v>6.6509999999999998</v>
      </c>
      <c r="P6" s="11">
        <v>0</v>
      </c>
      <c r="Q6" s="11">
        <v>21.8</v>
      </c>
      <c r="S6" s="9" t="s">
        <v>126</v>
      </c>
      <c r="T6" s="11">
        <v>1.1579999999999999</v>
      </c>
      <c r="U6" s="11">
        <v>2.2999999999999998</v>
      </c>
      <c r="V6" s="11">
        <v>0</v>
      </c>
      <c r="W6" s="11">
        <v>8.6020000000000003</v>
      </c>
      <c r="Y6" s="9" t="s">
        <v>126</v>
      </c>
      <c r="Z6" s="11">
        <v>16.123000000000001</v>
      </c>
      <c r="AA6" s="11">
        <v>6.383</v>
      </c>
      <c r="AB6" s="11">
        <v>5.9</v>
      </c>
      <c r="AC6" s="11">
        <v>30.4</v>
      </c>
      <c r="AE6" s="9" t="s">
        <v>126</v>
      </c>
      <c r="AF6" s="11">
        <v>32.747999999999998</v>
      </c>
      <c r="AG6" s="11">
        <v>7.8470000000000004</v>
      </c>
      <c r="AH6" s="11">
        <v>17.100000000000001</v>
      </c>
      <c r="AI6" s="11">
        <v>47.8</v>
      </c>
      <c r="AK6" s="9" t="s">
        <v>126</v>
      </c>
      <c r="AL6" s="11">
        <v>22.228000000000002</v>
      </c>
      <c r="AM6" s="11">
        <v>6.6890000000000001</v>
      </c>
      <c r="AN6" s="11">
        <v>9.3979999999999997</v>
      </c>
      <c r="AO6" s="11">
        <v>35.6</v>
      </c>
      <c r="AQ6" s="9" t="s">
        <v>126</v>
      </c>
      <c r="AR6" s="11">
        <v>7.9370000000000003</v>
      </c>
      <c r="AS6" s="11">
        <v>6.6379999999999999</v>
      </c>
      <c r="AT6" s="11">
        <v>0</v>
      </c>
      <c r="AU6" s="11">
        <v>22.3</v>
      </c>
      <c r="AW6" s="9" t="s">
        <v>126</v>
      </c>
      <c r="AX6" s="11">
        <v>4.3479999999999999</v>
      </c>
      <c r="AY6" s="11">
        <v>3.3279999999999998</v>
      </c>
      <c r="AZ6" s="11">
        <v>0</v>
      </c>
      <c r="BA6" s="11">
        <v>11.8</v>
      </c>
      <c r="BC6" s="9" t="s">
        <v>126</v>
      </c>
      <c r="BD6" s="11">
        <v>0.499</v>
      </c>
      <c r="BE6" s="11">
        <v>0.98699999999999999</v>
      </c>
      <c r="BF6" s="11">
        <v>0</v>
      </c>
      <c r="BG6" s="11">
        <v>3.6</v>
      </c>
      <c r="BI6" s="9" t="s">
        <v>126</v>
      </c>
      <c r="BJ6" s="11">
        <v>6.2030000000000003</v>
      </c>
      <c r="BK6" s="11">
        <v>4.4770000000000003</v>
      </c>
      <c r="BL6" s="11">
        <v>0</v>
      </c>
      <c r="BM6" s="11">
        <v>15.2</v>
      </c>
    </row>
    <row r="7" spans="1:65" x14ac:dyDescent="0.25">
      <c r="A7" s="9" t="s">
        <v>103</v>
      </c>
      <c r="B7" s="8">
        <v>1.9039632609556163</v>
      </c>
      <c r="C7" s="8">
        <v>0.66986627403755561</v>
      </c>
      <c r="D7" s="8">
        <v>0.59102536384200732</v>
      </c>
      <c r="E7" s="8">
        <v>3.2169011580692253</v>
      </c>
      <c r="G7" s="9" t="s">
        <v>103</v>
      </c>
      <c r="H7" s="11">
        <v>0.30299999999999999</v>
      </c>
      <c r="I7" s="11">
        <v>0.83299999999999996</v>
      </c>
      <c r="J7" s="11">
        <v>0</v>
      </c>
      <c r="K7" s="11">
        <v>3</v>
      </c>
      <c r="M7" s="9" t="s">
        <v>103</v>
      </c>
      <c r="N7" s="11">
        <v>2.343</v>
      </c>
      <c r="O7" s="11">
        <v>1.81</v>
      </c>
      <c r="P7" s="11">
        <v>0</v>
      </c>
      <c r="Q7" s="11">
        <v>6.4</v>
      </c>
      <c r="S7" s="9" t="s">
        <v>103</v>
      </c>
      <c r="T7" s="11">
        <v>0.63</v>
      </c>
      <c r="U7" s="11">
        <v>1.0349999999999999</v>
      </c>
      <c r="V7" s="11">
        <v>0</v>
      </c>
      <c r="W7" s="11">
        <v>3.6</v>
      </c>
      <c r="Y7" s="9" t="s">
        <v>103</v>
      </c>
      <c r="Z7" s="11">
        <v>1.2250000000000001</v>
      </c>
      <c r="AA7" s="11">
        <v>2.0219999999999998</v>
      </c>
      <c r="AB7" s="11">
        <v>0</v>
      </c>
      <c r="AC7" s="11">
        <v>6.8</v>
      </c>
      <c r="AE7" s="9" t="s">
        <v>103</v>
      </c>
      <c r="AF7" s="11">
        <v>2.64</v>
      </c>
      <c r="AG7" s="11">
        <v>2.8980000000000001</v>
      </c>
      <c r="AH7" s="11">
        <v>0</v>
      </c>
      <c r="AI7" s="11">
        <v>9.5</v>
      </c>
      <c r="AK7" s="9" t="s">
        <v>103</v>
      </c>
      <c r="AL7" s="11">
        <v>14.88</v>
      </c>
      <c r="AM7" s="11">
        <v>3.4340000000000002</v>
      </c>
      <c r="AN7" s="11">
        <v>8.4</v>
      </c>
      <c r="AO7" s="11">
        <v>22</v>
      </c>
      <c r="AQ7" s="9" t="s">
        <v>103</v>
      </c>
      <c r="AR7" s="11">
        <v>3.343</v>
      </c>
      <c r="AS7" s="11">
        <v>3.7770000000000001</v>
      </c>
      <c r="AT7" s="11">
        <v>0</v>
      </c>
      <c r="AU7" s="11">
        <v>11.6</v>
      </c>
      <c r="AW7" s="9" t="s">
        <v>103</v>
      </c>
      <c r="AX7" s="11">
        <v>0.40400000000000003</v>
      </c>
      <c r="AY7" s="11">
        <v>0.98299999999999998</v>
      </c>
      <c r="AZ7" s="11">
        <v>0</v>
      </c>
      <c r="BA7" s="11">
        <v>3.6</v>
      </c>
      <c r="BC7" s="9" t="s">
        <v>103</v>
      </c>
      <c r="BD7" s="11">
        <v>0.22</v>
      </c>
      <c r="BE7" s="11">
        <v>0.61799999999999999</v>
      </c>
      <c r="BF7" s="11">
        <v>0</v>
      </c>
      <c r="BG7" s="11">
        <v>2.2000000000000002</v>
      </c>
      <c r="BI7" s="9" t="s">
        <v>103</v>
      </c>
      <c r="BJ7" s="11">
        <v>0.16600000000000001</v>
      </c>
      <c r="BK7" s="11">
        <v>0.57999999999999996</v>
      </c>
      <c r="BL7" s="11">
        <v>0</v>
      </c>
      <c r="BM7" s="11">
        <v>1.8</v>
      </c>
    </row>
    <row r="8" spans="1:65" x14ac:dyDescent="0.25">
      <c r="A8" t="s">
        <v>11</v>
      </c>
      <c r="B8" s="8">
        <v>20.412271408081082</v>
      </c>
      <c r="C8" s="8">
        <v>0.51007003428860342</v>
      </c>
      <c r="D8" s="8">
        <v>19.412534140875419</v>
      </c>
      <c r="E8" s="8">
        <v>21.412008675286746</v>
      </c>
      <c r="G8" t="s">
        <v>11</v>
      </c>
      <c r="H8" s="11">
        <v>0.251</v>
      </c>
      <c r="I8" s="11">
        <v>0.35799999999999998</v>
      </c>
      <c r="J8" s="11">
        <v>0</v>
      </c>
      <c r="K8" s="11">
        <v>1.3</v>
      </c>
      <c r="M8" t="s">
        <v>11</v>
      </c>
      <c r="N8" s="11">
        <v>0.51900000000000002</v>
      </c>
      <c r="O8" s="11">
        <v>0.68400000000000005</v>
      </c>
      <c r="P8" s="11">
        <v>0</v>
      </c>
      <c r="Q8" s="11">
        <v>2.5</v>
      </c>
      <c r="S8" t="s">
        <v>11</v>
      </c>
      <c r="T8" s="11">
        <v>1.27</v>
      </c>
      <c r="U8" s="11">
        <v>1.097</v>
      </c>
      <c r="V8" s="11">
        <v>0</v>
      </c>
      <c r="W8" s="11">
        <v>4.0999999999999996</v>
      </c>
      <c r="Y8" t="s">
        <v>11</v>
      </c>
      <c r="Z8" s="11">
        <v>0.41499999999999998</v>
      </c>
      <c r="AA8" s="11">
        <v>0.60399999999999998</v>
      </c>
      <c r="AB8" s="11">
        <v>0</v>
      </c>
      <c r="AC8" s="11">
        <v>2.1</v>
      </c>
      <c r="AE8" t="s">
        <v>11</v>
      </c>
      <c r="AF8" s="11">
        <v>4.8789999999999996</v>
      </c>
      <c r="AG8" s="11">
        <v>2.5009999999999999</v>
      </c>
      <c r="AH8" s="11">
        <v>0.8</v>
      </c>
      <c r="AI8" s="11">
        <v>10.4</v>
      </c>
      <c r="AK8" t="s">
        <v>11</v>
      </c>
      <c r="AL8" s="11">
        <v>26.798999999999999</v>
      </c>
      <c r="AM8" s="11">
        <v>3.9529999999999998</v>
      </c>
      <c r="AN8" s="11">
        <v>19.3</v>
      </c>
      <c r="AO8" s="11">
        <v>34.700000000000003</v>
      </c>
      <c r="AQ8" t="s">
        <v>11</v>
      </c>
      <c r="AR8" s="11">
        <v>78.656000000000006</v>
      </c>
      <c r="AS8" s="11">
        <v>3.9089999999999998</v>
      </c>
      <c r="AT8" s="11">
        <v>70.7</v>
      </c>
      <c r="AU8" s="11">
        <v>85.9</v>
      </c>
      <c r="AW8" t="s">
        <v>11</v>
      </c>
      <c r="AX8" s="11">
        <v>88.914000000000001</v>
      </c>
      <c r="AY8" s="11">
        <v>3.101</v>
      </c>
      <c r="AZ8" s="11">
        <v>82.3</v>
      </c>
      <c r="BA8" s="11">
        <v>94.2</v>
      </c>
      <c r="BC8" t="s">
        <v>11</v>
      </c>
      <c r="BD8" s="11">
        <v>98.153000000000006</v>
      </c>
      <c r="BE8" s="11">
        <v>1.3720000000000001</v>
      </c>
      <c r="BF8" s="11">
        <v>94.5</v>
      </c>
      <c r="BG8" s="11">
        <v>99.8</v>
      </c>
      <c r="BI8" t="s">
        <v>11</v>
      </c>
      <c r="BJ8" s="11">
        <v>90.923000000000002</v>
      </c>
      <c r="BK8" s="11">
        <v>4.1219999999999999</v>
      </c>
      <c r="BL8" s="11">
        <v>82.3</v>
      </c>
      <c r="BM8" s="11">
        <v>97.8</v>
      </c>
    </row>
    <row r="9" spans="1:65" x14ac:dyDescent="0.25">
      <c r="A9" s="6" t="s">
        <v>103</v>
      </c>
      <c r="B9" s="8">
        <v>6.5595409888479779</v>
      </c>
      <c r="C9" s="8">
        <v>0.49221657963279636</v>
      </c>
      <c r="D9" s="8">
        <v>5.5947964927676974</v>
      </c>
      <c r="E9" s="8">
        <v>7.5242854849282583</v>
      </c>
      <c r="G9" s="6" t="s">
        <v>103</v>
      </c>
      <c r="H9" s="11">
        <v>9.7000000000000003E-2</v>
      </c>
      <c r="I9" s="11">
        <v>0.21199999999999999</v>
      </c>
      <c r="J9" s="11">
        <v>0</v>
      </c>
      <c r="K9" s="11">
        <v>0.7</v>
      </c>
      <c r="M9" s="6" t="s">
        <v>103</v>
      </c>
      <c r="N9" s="11">
        <v>0.13900000000000001</v>
      </c>
      <c r="O9" s="11">
        <v>0.30399999999999999</v>
      </c>
      <c r="P9" s="11">
        <v>0</v>
      </c>
      <c r="Q9" s="11">
        <v>1</v>
      </c>
      <c r="S9" s="6" t="s">
        <v>103</v>
      </c>
      <c r="T9" s="11">
        <v>0.218</v>
      </c>
      <c r="U9" s="11">
        <v>0.42399999999999999</v>
      </c>
      <c r="V9" s="11">
        <v>0</v>
      </c>
      <c r="W9" s="11">
        <v>1.5</v>
      </c>
      <c r="Y9" s="6" t="s">
        <v>103</v>
      </c>
      <c r="Z9" s="11">
        <v>0.155</v>
      </c>
      <c r="AA9" s="11">
        <v>0.34499999999999997</v>
      </c>
      <c r="AB9" s="11">
        <v>0</v>
      </c>
      <c r="AC9" s="11">
        <v>1.2</v>
      </c>
      <c r="AE9" s="6" t="s">
        <v>103</v>
      </c>
      <c r="AF9" s="11">
        <v>0.99</v>
      </c>
      <c r="AG9" s="11">
        <v>1.2629999999999999</v>
      </c>
      <c r="AH9" s="11">
        <v>0</v>
      </c>
      <c r="AI9" s="11">
        <v>4.4000000000000004</v>
      </c>
      <c r="AK9" s="6" t="s">
        <v>103</v>
      </c>
      <c r="AL9" s="11">
        <v>2.452</v>
      </c>
      <c r="AM9" s="11">
        <v>2.548</v>
      </c>
      <c r="AN9" s="11">
        <v>0</v>
      </c>
      <c r="AO9" s="11">
        <v>8.4</v>
      </c>
      <c r="AQ9" s="6" t="s">
        <v>103</v>
      </c>
      <c r="AR9" s="11">
        <v>4.9640000000000004</v>
      </c>
      <c r="AS9" s="11">
        <v>2.9209999999999998</v>
      </c>
      <c r="AT9" s="11">
        <v>0.1</v>
      </c>
      <c r="AU9" s="11">
        <v>11.4</v>
      </c>
      <c r="AW9" s="6" t="s">
        <v>103</v>
      </c>
      <c r="AX9" s="11">
        <v>16.071000000000002</v>
      </c>
      <c r="AY9" s="11">
        <v>3.258</v>
      </c>
      <c r="AZ9" s="11">
        <v>10</v>
      </c>
      <c r="BA9" s="11">
        <v>22.7</v>
      </c>
      <c r="BC9" s="6" t="s">
        <v>103</v>
      </c>
      <c r="BD9" s="11">
        <v>41.543999999999997</v>
      </c>
      <c r="BE9" s="11">
        <v>4.0149999999999997</v>
      </c>
      <c r="BF9" s="11">
        <v>33.6</v>
      </c>
      <c r="BG9" s="11">
        <v>49.5</v>
      </c>
      <c r="BI9" s="6" t="s">
        <v>103</v>
      </c>
      <c r="BJ9" s="11">
        <v>64.272000000000006</v>
      </c>
      <c r="BK9" s="11">
        <v>4.694</v>
      </c>
      <c r="BL9" s="11">
        <v>54.8</v>
      </c>
      <c r="BM9" s="11">
        <v>73.099999999999994</v>
      </c>
    </row>
    <row r="10" spans="1:65" x14ac:dyDescent="0.25">
      <c r="A10" s="6" t="s">
        <v>38</v>
      </c>
      <c r="B10" s="8">
        <v>8.0937070781217706</v>
      </c>
      <c r="C10" s="8">
        <v>0.68302240705415318</v>
      </c>
      <c r="D10" s="8">
        <v>6.7549831602956303</v>
      </c>
      <c r="E10" s="8">
        <v>9.4324309959479109</v>
      </c>
      <c r="G10" s="6" t="s">
        <v>38</v>
      </c>
      <c r="H10" s="11">
        <v>7.2999999999999995E-2</v>
      </c>
      <c r="I10" s="11">
        <v>0.18099999999999999</v>
      </c>
      <c r="J10" s="11">
        <v>0</v>
      </c>
      <c r="K10" s="11">
        <v>0.6</v>
      </c>
      <c r="M10" s="6" t="s">
        <v>38</v>
      </c>
      <c r="N10" s="11">
        <v>0.124</v>
      </c>
      <c r="O10" s="11">
        <v>0.33100000000000002</v>
      </c>
      <c r="P10" s="11">
        <v>0</v>
      </c>
      <c r="Q10" s="11">
        <v>1.1000000000000001</v>
      </c>
      <c r="S10" s="6" t="s">
        <v>38</v>
      </c>
      <c r="T10" s="11">
        <v>0.38800000000000001</v>
      </c>
      <c r="U10" s="11">
        <v>0.82899999999999996</v>
      </c>
      <c r="V10" s="11">
        <v>0</v>
      </c>
      <c r="W10" s="11">
        <v>3.1</v>
      </c>
      <c r="Y10" s="6" t="s">
        <v>38</v>
      </c>
      <c r="Z10" s="11">
        <v>0.15</v>
      </c>
      <c r="AA10" s="11">
        <v>0.40300000000000002</v>
      </c>
      <c r="AB10" s="11">
        <v>0</v>
      </c>
      <c r="AC10" s="11">
        <v>1.3</v>
      </c>
      <c r="AE10" s="6" t="s">
        <v>38</v>
      </c>
      <c r="AF10" s="11">
        <v>2.1840000000000002</v>
      </c>
      <c r="AG10" s="11">
        <v>2.2770000000000001</v>
      </c>
      <c r="AH10" s="11">
        <v>0</v>
      </c>
      <c r="AI10" s="11">
        <v>7.6</v>
      </c>
      <c r="AK10" s="6" t="s">
        <v>38</v>
      </c>
      <c r="AL10" s="11">
        <v>22.105</v>
      </c>
      <c r="AM10" s="11">
        <v>4.0430000000000001</v>
      </c>
      <c r="AN10" s="11">
        <v>14.2</v>
      </c>
      <c r="AO10" s="11">
        <v>30.1</v>
      </c>
      <c r="AQ10" s="6" t="s">
        <v>38</v>
      </c>
      <c r="AR10" s="11">
        <v>49.667999999999999</v>
      </c>
      <c r="AS10" s="11">
        <v>6.2249999999999996</v>
      </c>
      <c r="AT10" s="11">
        <v>37.4</v>
      </c>
      <c r="AU10" s="11">
        <v>61.7</v>
      </c>
      <c r="AW10" s="6" t="s">
        <v>38</v>
      </c>
      <c r="AX10" s="11">
        <v>30.736000000000001</v>
      </c>
      <c r="AY10" s="11">
        <v>5.9770000000000003</v>
      </c>
      <c r="AZ10" s="11">
        <v>19.7</v>
      </c>
      <c r="BA10" s="11">
        <v>42.9</v>
      </c>
      <c r="BC10" s="6" t="s">
        <v>38</v>
      </c>
      <c r="BD10" s="11">
        <v>31.609000000000002</v>
      </c>
      <c r="BE10" s="11">
        <v>4.5330000000000004</v>
      </c>
      <c r="BF10" s="11">
        <v>23</v>
      </c>
      <c r="BG10" s="11">
        <v>40.6</v>
      </c>
      <c r="BI10" s="6" t="s">
        <v>38</v>
      </c>
      <c r="BJ10" s="11">
        <v>11.593</v>
      </c>
      <c r="BK10" s="11">
        <v>4.5979999999999999</v>
      </c>
      <c r="BL10" s="11">
        <v>4.3</v>
      </c>
      <c r="BM10" s="11">
        <v>22.2</v>
      </c>
    </row>
    <row r="11" spans="1:65" x14ac:dyDescent="0.25">
      <c r="A11" s="6" t="s">
        <v>104</v>
      </c>
      <c r="B11" s="8">
        <v>3.1739520932847807</v>
      </c>
      <c r="C11" s="8">
        <v>0.54580350735930117</v>
      </c>
      <c r="D11" s="8">
        <v>2.1041772188605501</v>
      </c>
      <c r="E11" s="8">
        <v>4.2437269677090113</v>
      </c>
      <c r="G11" s="6" t="s">
        <v>104</v>
      </c>
      <c r="H11" s="11">
        <v>7.0999999999999994E-2</v>
      </c>
      <c r="I11" s="11">
        <v>0.153</v>
      </c>
      <c r="J11" s="11">
        <v>0</v>
      </c>
      <c r="K11" s="11">
        <v>0.5</v>
      </c>
      <c r="M11" s="6" t="s">
        <v>104</v>
      </c>
      <c r="N11" s="11">
        <v>0.24299999999999999</v>
      </c>
      <c r="O11" s="11">
        <v>0.48499999999999999</v>
      </c>
      <c r="P11" s="11">
        <v>0</v>
      </c>
      <c r="Q11" s="11">
        <v>1.8</v>
      </c>
      <c r="S11" s="6" t="s">
        <v>104</v>
      </c>
      <c r="T11" s="11">
        <v>0.25</v>
      </c>
      <c r="U11" s="11">
        <v>0.45900000000000002</v>
      </c>
      <c r="V11" s="11">
        <v>0</v>
      </c>
      <c r="W11" s="11">
        <v>1.7</v>
      </c>
      <c r="Y11" s="6" t="s">
        <v>104</v>
      </c>
      <c r="Z11" s="11">
        <v>0.11</v>
      </c>
      <c r="AA11" s="11">
        <v>0.26200000000000001</v>
      </c>
      <c r="AB11" s="11">
        <v>0</v>
      </c>
      <c r="AC11" s="11">
        <v>0.9</v>
      </c>
      <c r="AE11" s="6" t="s">
        <v>104</v>
      </c>
      <c r="AF11" s="11">
        <v>1.6659999999999999</v>
      </c>
      <c r="AG11" s="11">
        <v>1.675</v>
      </c>
      <c r="AH11" s="11">
        <v>0</v>
      </c>
      <c r="AI11" s="11">
        <v>5.6</v>
      </c>
      <c r="AK11" s="6" t="s">
        <v>104</v>
      </c>
      <c r="AL11" s="11">
        <v>1.1910000000000001</v>
      </c>
      <c r="AM11" s="11">
        <v>1.732</v>
      </c>
      <c r="AN11" s="11">
        <v>0</v>
      </c>
      <c r="AO11" s="11">
        <v>6</v>
      </c>
      <c r="AQ11" s="6" t="s">
        <v>104</v>
      </c>
      <c r="AR11" s="11">
        <v>15.738</v>
      </c>
      <c r="AS11" s="11">
        <v>5.4649999999999999</v>
      </c>
      <c r="AT11" s="11">
        <v>5.8</v>
      </c>
      <c r="AU11" s="11">
        <v>27.1</v>
      </c>
      <c r="AW11" s="6" t="s">
        <v>104</v>
      </c>
      <c r="AX11" s="11">
        <v>23.103000000000002</v>
      </c>
      <c r="AY11" s="11">
        <v>5.6849999999999996</v>
      </c>
      <c r="AZ11" s="11">
        <v>12.3</v>
      </c>
      <c r="BA11" s="11">
        <v>34.5</v>
      </c>
      <c r="BC11" s="6" t="s">
        <v>104</v>
      </c>
      <c r="BD11" s="11">
        <v>12.487</v>
      </c>
      <c r="BE11" s="11">
        <v>3.6589999999999998</v>
      </c>
      <c r="BF11" s="11">
        <v>5.8</v>
      </c>
      <c r="BG11" s="11">
        <v>20.100000000000001</v>
      </c>
      <c r="BI11" s="6" t="s">
        <v>104</v>
      </c>
      <c r="BJ11" s="11">
        <v>5.7290000000000001</v>
      </c>
      <c r="BK11" s="11">
        <v>4.0190000000000001</v>
      </c>
      <c r="BL11" s="11">
        <v>0</v>
      </c>
      <c r="BM11" s="11">
        <v>14.5</v>
      </c>
    </row>
    <row r="12" spans="1:65" x14ac:dyDescent="0.25">
      <c r="A12" s="9" t="s">
        <v>14</v>
      </c>
      <c r="B12" s="8">
        <v>0.21058360709259666</v>
      </c>
      <c r="C12" s="8">
        <v>0.20216515722055584</v>
      </c>
      <c r="D12" s="8">
        <v>0</v>
      </c>
      <c r="E12" s="8">
        <v>0.60682731524488609</v>
      </c>
      <c r="G12" s="9" t="s">
        <v>14</v>
      </c>
      <c r="H12" s="11">
        <v>1.7000000000000001E-2</v>
      </c>
      <c r="I12" s="11">
        <v>6.7000000000000004E-2</v>
      </c>
      <c r="J12" s="11">
        <v>0</v>
      </c>
      <c r="K12" s="11">
        <v>0.1</v>
      </c>
      <c r="M12" s="9" t="s">
        <v>14</v>
      </c>
      <c r="N12" s="11">
        <v>0.02</v>
      </c>
      <c r="O12" s="11">
        <v>7.5999999999999998E-2</v>
      </c>
      <c r="P12" s="11">
        <v>0</v>
      </c>
      <c r="Q12" s="11">
        <v>0.2</v>
      </c>
      <c r="S12" s="9" t="s">
        <v>14</v>
      </c>
      <c r="T12" s="11">
        <v>4.7E-2</v>
      </c>
      <c r="U12" s="11">
        <v>0.19600000000000001</v>
      </c>
      <c r="V12" s="11">
        <v>0</v>
      </c>
      <c r="W12" s="11">
        <v>0.5</v>
      </c>
      <c r="Y12" s="9" t="s">
        <v>14</v>
      </c>
      <c r="Z12" s="11">
        <v>2.9000000000000001E-2</v>
      </c>
      <c r="AA12" s="11">
        <v>0.13700000000000001</v>
      </c>
      <c r="AB12" s="11">
        <v>0</v>
      </c>
      <c r="AC12" s="11">
        <v>0.3</v>
      </c>
      <c r="AE12" s="9" t="s">
        <v>14</v>
      </c>
      <c r="AF12" s="11">
        <v>0.26100000000000001</v>
      </c>
      <c r="AG12" s="11">
        <v>0.8</v>
      </c>
      <c r="AH12" s="11">
        <v>0</v>
      </c>
      <c r="AI12" s="11">
        <v>3</v>
      </c>
      <c r="AK12" s="9" t="s">
        <v>14</v>
      </c>
      <c r="AL12" s="11">
        <v>0.23</v>
      </c>
      <c r="AM12" s="11">
        <v>0.81</v>
      </c>
      <c r="AN12" s="11">
        <v>0</v>
      </c>
      <c r="AO12" s="11">
        <v>2.9</v>
      </c>
      <c r="AQ12" s="9" t="s">
        <v>14</v>
      </c>
      <c r="AR12" s="11">
        <v>0.2</v>
      </c>
      <c r="AS12" s="11">
        <v>0.89</v>
      </c>
      <c r="AT12" s="11">
        <v>0</v>
      </c>
      <c r="AU12" s="11">
        <v>2.8</v>
      </c>
      <c r="AW12" s="9" t="s">
        <v>14</v>
      </c>
      <c r="AX12" s="11">
        <v>4.0140000000000002</v>
      </c>
      <c r="AY12" s="11">
        <v>4.7039999999999997</v>
      </c>
      <c r="AZ12" s="11">
        <v>0</v>
      </c>
      <c r="BA12" s="11">
        <v>14.702</v>
      </c>
      <c r="BC12" s="9" t="s">
        <v>14</v>
      </c>
      <c r="BD12" s="11">
        <v>0.27900000000000003</v>
      </c>
      <c r="BE12" s="11">
        <v>1.0569999999999999</v>
      </c>
      <c r="BF12" s="11">
        <v>0</v>
      </c>
      <c r="BG12" s="11">
        <v>3.7</v>
      </c>
      <c r="BI12" s="9" t="s">
        <v>14</v>
      </c>
      <c r="BJ12" s="11">
        <v>0.14099999999999999</v>
      </c>
      <c r="BK12" s="11">
        <v>0.67400000000000004</v>
      </c>
      <c r="BL12" s="11">
        <v>0</v>
      </c>
      <c r="BM12" s="11">
        <v>1.8</v>
      </c>
    </row>
    <row r="13" spans="1:65" x14ac:dyDescent="0.25">
      <c r="A13" s="9" t="s">
        <v>15</v>
      </c>
      <c r="B13" s="8">
        <v>2.9694997558483478</v>
      </c>
      <c r="C13" s="8">
        <v>0.54011200939312165</v>
      </c>
      <c r="D13" s="8">
        <v>1.9108802174378294</v>
      </c>
      <c r="E13" s="8">
        <v>4.0281192942588664</v>
      </c>
      <c r="G13" s="9" t="s">
        <v>15</v>
      </c>
      <c r="H13" s="11">
        <v>0.06</v>
      </c>
      <c r="I13" s="11">
        <v>0.14000000000000001</v>
      </c>
      <c r="J13" s="11">
        <v>0</v>
      </c>
      <c r="K13" s="11">
        <v>0.4</v>
      </c>
      <c r="M13" s="9" t="s">
        <v>15</v>
      </c>
      <c r="N13" s="11">
        <v>0.22900000000000001</v>
      </c>
      <c r="O13" s="11">
        <v>0.48</v>
      </c>
      <c r="P13" s="11">
        <v>0</v>
      </c>
      <c r="Q13" s="11">
        <v>1.7</v>
      </c>
      <c r="S13" s="9" t="s">
        <v>15</v>
      </c>
      <c r="T13" s="11">
        <v>0.21</v>
      </c>
      <c r="U13" s="11">
        <v>0.42499999999999999</v>
      </c>
      <c r="V13" s="11">
        <v>0</v>
      </c>
      <c r="W13" s="11">
        <v>1.5</v>
      </c>
      <c r="Y13" s="9" t="s">
        <v>15</v>
      </c>
      <c r="Z13" s="11">
        <v>8.7999999999999995E-2</v>
      </c>
      <c r="AA13" s="11">
        <v>0.22700000000000001</v>
      </c>
      <c r="AB13" s="11">
        <v>0</v>
      </c>
      <c r="AC13" s="11">
        <v>0.7</v>
      </c>
      <c r="AE13" s="9" t="s">
        <v>15</v>
      </c>
      <c r="AF13" s="11">
        <v>1.411</v>
      </c>
      <c r="AG13" s="11">
        <v>1.593</v>
      </c>
      <c r="AH13" s="11">
        <v>0</v>
      </c>
      <c r="AI13" s="11">
        <v>5.3</v>
      </c>
      <c r="AK13" s="9" t="s">
        <v>15</v>
      </c>
      <c r="AL13" s="11">
        <v>0.96799999999999997</v>
      </c>
      <c r="AM13" s="11">
        <v>1.5920000000000001</v>
      </c>
      <c r="AN13" s="11">
        <v>0</v>
      </c>
      <c r="AO13" s="11">
        <v>5.4</v>
      </c>
      <c r="AQ13" s="9" t="s">
        <v>15</v>
      </c>
      <c r="AR13" s="11">
        <v>15.545</v>
      </c>
      <c r="AS13" s="11">
        <v>5.415</v>
      </c>
      <c r="AT13" s="11">
        <v>5.798</v>
      </c>
      <c r="AU13" s="11">
        <v>26.8</v>
      </c>
      <c r="AW13" s="9" t="s">
        <v>15</v>
      </c>
      <c r="AX13" s="11">
        <v>19.091000000000001</v>
      </c>
      <c r="AY13" s="11">
        <v>5.899</v>
      </c>
      <c r="AZ13" s="11">
        <v>8.1999999999999993</v>
      </c>
      <c r="BA13" s="11">
        <v>31.3</v>
      </c>
      <c r="BC13" s="9" t="s">
        <v>15</v>
      </c>
      <c r="BD13" s="11">
        <v>12.211</v>
      </c>
      <c r="BE13" s="11">
        <v>3.64</v>
      </c>
      <c r="BF13" s="11">
        <v>5.7</v>
      </c>
      <c r="BG13" s="11">
        <v>19.8</v>
      </c>
      <c r="BI13" s="9" t="s">
        <v>15</v>
      </c>
      <c r="BJ13" s="11">
        <v>5.5949999999999998</v>
      </c>
      <c r="BK13" s="11">
        <v>4.0129999999999999</v>
      </c>
      <c r="BL13" s="11">
        <v>0</v>
      </c>
      <c r="BM13" s="11">
        <v>14.4</v>
      </c>
    </row>
    <row r="14" spans="1:65" x14ac:dyDescent="0.25">
      <c r="A14" s="6" t="s">
        <v>105</v>
      </c>
      <c r="B14" s="8">
        <v>2.6137596676407839</v>
      </c>
      <c r="C14" s="8">
        <v>0.31334019959715204</v>
      </c>
      <c r="D14" s="8">
        <v>1.999612876430366</v>
      </c>
      <c r="E14" s="8">
        <v>3.2279064588512019</v>
      </c>
      <c r="G14" s="6" t="s">
        <v>105</v>
      </c>
      <c r="H14" s="11">
        <v>6.7000000000000004E-2</v>
      </c>
      <c r="I14" s="11">
        <v>0.17199999999999999</v>
      </c>
      <c r="J14" s="11">
        <v>0</v>
      </c>
      <c r="K14" s="11">
        <v>0.5</v>
      </c>
      <c r="M14" s="6" t="s">
        <v>105</v>
      </c>
      <c r="N14" s="11">
        <v>6.0999999999999999E-2</v>
      </c>
      <c r="O14" s="11">
        <v>0.16400000000000001</v>
      </c>
      <c r="P14" s="11">
        <v>0</v>
      </c>
      <c r="Q14" s="11">
        <v>0.5</v>
      </c>
      <c r="S14" s="6" t="s">
        <v>105</v>
      </c>
      <c r="T14" s="11">
        <v>0.45</v>
      </c>
      <c r="U14" s="11">
        <v>0.60299999999999998</v>
      </c>
      <c r="V14" s="11">
        <v>0</v>
      </c>
      <c r="W14" s="11">
        <v>2.1</v>
      </c>
      <c r="Y14" s="6" t="s">
        <v>105</v>
      </c>
      <c r="Z14" s="11">
        <v>5.0999999999999997E-2</v>
      </c>
      <c r="AA14" s="11">
        <v>0.13400000000000001</v>
      </c>
      <c r="AB14" s="11">
        <v>0</v>
      </c>
      <c r="AC14" s="11">
        <v>0.4</v>
      </c>
      <c r="AE14" s="6" t="s">
        <v>105</v>
      </c>
      <c r="AF14" s="11">
        <v>5.7000000000000002E-2</v>
      </c>
      <c r="AG14" s="11">
        <v>0.156</v>
      </c>
      <c r="AH14" s="11">
        <v>0</v>
      </c>
      <c r="AI14" s="11">
        <v>0.5</v>
      </c>
      <c r="AK14" s="6" t="s">
        <v>105</v>
      </c>
      <c r="AL14" s="11">
        <v>1.0429999999999999</v>
      </c>
      <c r="AM14" s="11">
        <v>0.70599999999999996</v>
      </c>
      <c r="AN14" s="11">
        <v>0.1</v>
      </c>
      <c r="AO14" s="11">
        <v>2.8</v>
      </c>
      <c r="AQ14" s="6" t="s">
        <v>105</v>
      </c>
      <c r="AR14" s="11">
        <v>8.2759999999999998</v>
      </c>
      <c r="AS14" s="11">
        <v>1.7829999999999999</v>
      </c>
      <c r="AT14" s="11">
        <v>5.0999999999999996</v>
      </c>
      <c r="AU14" s="11">
        <v>12</v>
      </c>
      <c r="AW14" s="6" t="s">
        <v>105</v>
      </c>
      <c r="AX14" s="11">
        <v>18.989999999999998</v>
      </c>
      <c r="AY14" s="11">
        <v>2.5659999999999998</v>
      </c>
      <c r="AZ14" s="11">
        <v>14.2</v>
      </c>
      <c r="BA14" s="11">
        <v>24.2</v>
      </c>
      <c r="BC14" s="6" t="s">
        <v>105</v>
      </c>
      <c r="BD14" s="11">
        <v>12.497999999999999</v>
      </c>
      <c r="BE14" s="11">
        <v>2.33</v>
      </c>
      <c r="BF14" s="11">
        <v>8.3000000000000007</v>
      </c>
      <c r="BG14" s="11">
        <v>17.2</v>
      </c>
      <c r="BI14" s="6" t="s">
        <v>105</v>
      </c>
      <c r="BJ14" s="11">
        <v>9.3260000000000005</v>
      </c>
      <c r="BK14" s="11">
        <v>2.3540000000000001</v>
      </c>
      <c r="BL14" s="11">
        <v>5.3</v>
      </c>
      <c r="BM14" s="11">
        <v>14.3</v>
      </c>
    </row>
    <row r="15" spans="1:65" x14ac:dyDescent="0.25">
      <c r="A15" s="9" t="s">
        <v>17</v>
      </c>
      <c r="B15" s="8">
        <v>2.4448901911495828</v>
      </c>
      <c r="C15" s="8">
        <v>0.29381864977367422</v>
      </c>
      <c r="D15" s="8">
        <v>1.8690056375931814</v>
      </c>
      <c r="E15" s="8">
        <v>3.0207747447059843</v>
      </c>
      <c r="G15" s="9" t="s">
        <v>17</v>
      </c>
      <c r="H15" s="11">
        <v>0.03</v>
      </c>
      <c r="I15" s="11">
        <v>8.8999999999999996E-2</v>
      </c>
      <c r="J15" s="11">
        <v>0</v>
      </c>
      <c r="K15" s="11">
        <v>0.2</v>
      </c>
      <c r="M15" s="9" t="s">
        <v>17</v>
      </c>
      <c r="N15" s="11">
        <v>0.03</v>
      </c>
      <c r="O15" s="11">
        <v>8.6999999999999994E-2</v>
      </c>
      <c r="P15" s="11">
        <v>0</v>
      </c>
      <c r="Q15" s="11">
        <v>0.2</v>
      </c>
      <c r="S15" s="9" t="s">
        <v>17</v>
      </c>
      <c r="T15" s="11">
        <v>0.438</v>
      </c>
      <c r="U15" s="11">
        <v>0.60099999999999998</v>
      </c>
      <c r="V15" s="11">
        <v>0</v>
      </c>
      <c r="W15" s="11">
        <v>2.1</v>
      </c>
      <c r="Y15" s="9" t="s">
        <v>17</v>
      </c>
      <c r="Z15" s="11">
        <v>0.03</v>
      </c>
      <c r="AA15" s="11">
        <v>8.6999999999999994E-2</v>
      </c>
      <c r="AB15" s="11">
        <v>0</v>
      </c>
      <c r="AC15" s="11">
        <v>0.2</v>
      </c>
      <c r="AE15" s="9" t="s">
        <v>17</v>
      </c>
      <c r="AF15" s="11">
        <v>3.4000000000000002E-2</v>
      </c>
      <c r="AG15" s="11">
        <v>0.10299999999999999</v>
      </c>
      <c r="AH15" s="11">
        <v>0</v>
      </c>
      <c r="AI15" s="11">
        <v>0.3</v>
      </c>
      <c r="AK15" s="9" t="s">
        <v>17</v>
      </c>
      <c r="AL15" s="11">
        <v>1.0129999999999999</v>
      </c>
      <c r="AM15" s="11">
        <v>0.68799999999999994</v>
      </c>
      <c r="AN15" s="11">
        <v>0.1</v>
      </c>
      <c r="AO15" s="11">
        <v>2.7</v>
      </c>
      <c r="AQ15" s="9" t="s">
        <v>17</v>
      </c>
      <c r="AR15" s="11">
        <v>8.2189999999999994</v>
      </c>
      <c r="AS15" s="11">
        <v>1.772</v>
      </c>
      <c r="AT15" s="11">
        <v>5.0999999999999996</v>
      </c>
      <c r="AU15" s="11">
        <v>11.9</v>
      </c>
      <c r="AW15" s="9" t="s">
        <v>17</v>
      </c>
      <c r="AX15" s="11">
        <v>18.972999999999999</v>
      </c>
      <c r="AY15" s="11">
        <v>2.5640000000000001</v>
      </c>
      <c r="AZ15" s="11">
        <v>14.2</v>
      </c>
      <c r="BA15" s="11">
        <v>24.2</v>
      </c>
      <c r="BC15" s="9" t="s">
        <v>17</v>
      </c>
      <c r="BD15" s="11">
        <v>11.404</v>
      </c>
      <c r="BE15" s="11">
        <v>2.109</v>
      </c>
      <c r="BF15" s="11">
        <v>7.6</v>
      </c>
      <c r="BG15" s="11">
        <v>15.8</v>
      </c>
      <c r="BI15" s="9" t="s">
        <v>17</v>
      </c>
      <c r="BJ15" s="11">
        <v>7.5430000000000001</v>
      </c>
      <c r="BK15" s="11">
        <v>2.036</v>
      </c>
      <c r="BL15" s="11">
        <v>4.0979999999999999</v>
      </c>
      <c r="BM15" s="11">
        <v>11.9</v>
      </c>
    </row>
    <row r="16" spans="1:65" x14ac:dyDescent="0.25">
      <c r="A16" s="9" t="s">
        <v>18</v>
      </c>
      <c r="B16" s="8">
        <v>0.17271567517623196</v>
      </c>
      <c r="C16" s="8">
        <v>0.11341878160091388</v>
      </c>
      <c r="D16" s="8">
        <v>0</v>
      </c>
      <c r="E16" s="8">
        <v>0.39501648711402315</v>
      </c>
      <c r="G16" s="9" t="s">
        <v>18</v>
      </c>
      <c r="H16" s="11">
        <v>4.2000000000000003E-2</v>
      </c>
      <c r="I16" s="11">
        <v>0.151</v>
      </c>
      <c r="J16" s="11">
        <v>0</v>
      </c>
      <c r="K16" s="11">
        <v>0.5</v>
      </c>
      <c r="M16" s="9" t="s">
        <v>18</v>
      </c>
      <c r="N16" s="11">
        <v>3.5000000000000003E-2</v>
      </c>
      <c r="O16" s="11">
        <v>0.14099999999999999</v>
      </c>
      <c r="P16" s="11">
        <v>0</v>
      </c>
      <c r="Q16" s="11">
        <v>0.4</v>
      </c>
      <c r="S16" s="9" t="s">
        <v>18</v>
      </c>
      <c r="T16" s="11">
        <v>1.7999999999999999E-2</v>
      </c>
      <c r="U16" s="11">
        <v>7.5999999999999998E-2</v>
      </c>
      <c r="V16" s="11">
        <v>0</v>
      </c>
      <c r="W16" s="11">
        <v>0.1</v>
      </c>
      <c r="Y16" s="9" t="s">
        <v>18</v>
      </c>
      <c r="Z16" s="11">
        <v>2.5000000000000001E-2</v>
      </c>
      <c r="AA16" s="11">
        <v>0.107</v>
      </c>
      <c r="AB16" s="11">
        <v>0</v>
      </c>
      <c r="AC16" s="11">
        <v>0.2</v>
      </c>
      <c r="AE16" s="9" t="s">
        <v>18</v>
      </c>
      <c r="AF16" s="11">
        <v>2.7E-2</v>
      </c>
      <c r="AG16" s="11">
        <v>0.11799999999999999</v>
      </c>
      <c r="AH16" s="11">
        <v>0</v>
      </c>
      <c r="AI16" s="11">
        <v>0.2</v>
      </c>
      <c r="AK16" s="9" t="s">
        <v>18</v>
      </c>
      <c r="AL16" s="11">
        <v>3.5999999999999997E-2</v>
      </c>
      <c r="AM16" s="11">
        <v>0.16200000000000001</v>
      </c>
      <c r="AN16" s="11">
        <v>0</v>
      </c>
      <c r="AO16" s="11">
        <v>0.3</v>
      </c>
      <c r="AQ16" s="9" t="s">
        <v>18</v>
      </c>
      <c r="AR16" s="11">
        <v>6.3E-2</v>
      </c>
      <c r="AS16" s="11">
        <v>0.218</v>
      </c>
      <c r="AT16" s="11">
        <v>0</v>
      </c>
      <c r="AU16" s="11">
        <v>0.7</v>
      </c>
      <c r="AW16" s="9" t="s">
        <v>18</v>
      </c>
      <c r="AX16" s="11">
        <v>2.7E-2</v>
      </c>
      <c r="AY16" s="11">
        <v>0.124</v>
      </c>
      <c r="AZ16" s="11">
        <v>0</v>
      </c>
      <c r="BA16" s="11">
        <v>0.2</v>
      </c>
      <c r="BC16" s="9" t="s">
        <v>18</v>
      </c>
      <c r="BD16" s="11">
        <v>1.0900000000000001</v>
      </c>
      <c r="BE16" s="11">
        <v>1.0229999999999999</v>
      </c>
      <c r="BF16" s="11">
        <v>0</v>
      </c>
      <c r="BG16" s="11">
        <v>3.5</v>
      </c>
      <c r="BI16" s="9" t="s">
        <v>18</v>
      </c>
      <c r="BJ16" s="11">
        <v>1.774</v>
      </c>
      <c r="BK16" s="11">
        <v>1.2230000000000001</v>
      </c>
      <c r="BL16" s="11">
        <v>0.2</v>
      </c>
      <c r="BM16" s="11">
        <v>4.8</v>
      </c>
    </row>
    <row r="17" spans="1:65" x14ac:dyDescent="0.25">
      <c r="A17" t="s">
        <v>41</v>
      </c>
      <c r="B17" s="8">
        <v>14.640541088073485</v>
      </c>
      <c r="C17" s="8">
        <v>0.69293062226164837</v>
      </c>
      <c r="D17" s="8">
        <v>13.282397068440655</v>
      </c>
      <c r="E17" s="8">
        <v>15.998685107706315</v>
      </c>
      <c r="G17" t="s">
        <v>41</v>
      </c>
      <c r="H17" s="11">
        <v>0.151</v>
      </c>
      <c r="I17" s="11">
        <v>0.27600000000000002</v>
      </c>
      <c r="J17" s="11">
        <v>0</v>
      </c>
      <c r="K17" s="11">
        <v>1</v>
      </c>
      <c r="M17" t="s">
        <v>41</v>
      </c>
      <c r="N17" s="11">
        <v>0.246</v>
      </c>
      <c r="O17" s="11">
        <v>0.44800000000000001</v>
      </c>
      <c r="P17" s="11">
        <v>0</v>
      </c>
      <c r="Q17" s="11">
        <v>1.5</v>
      </c>
      <c r="S17" t="s">
        <v>41</v>
      </c>
      <c r="T17" s="11">
        <v>0.59</v>
      </c>
      <c r="U17" s="11">
        <v>0.91800000000000004</v>
      </c>
      <c r="V17" s="11">
        <v>0</v>
      </c>
      <c r="W17" s="11">
        <v>3.4</v>
      </c>
      <c r="Y17" t="s">
        <v>41</v>
      </c>
      <c r="Z17" s="11">
        <v>0.28799999999999998</v>
      </c>
      <c r="AA17" s="11">
        <v>0.53</v>
      </c>
      <c r="AB17" s="11">
        <v>0</v>
      </c>
      <c r="AC17" s="11">
        <v>1.9</v>
      </c>
      <c r="AE17" t="s">
        <v>41</v>
      </c>
      <c r="AF17" s="11">
        <v>3.1680000000000001</v>
      </c>
      <c r="AG17" s="11">
        <v>2.6640000000000001</v>
      </c>
      <c r="AH17" s="11">
        <v>0</v>
      </c>
      <c r="AI17" s="11">
        <v>9.4</v>
      </c>
      <c r="AK17" t="s">
        <v>41</v>
      </c>
      <c r="AL17" s="11">
        <v>24.556000000000001</v>
      </c>
      <c r="AM17" s="11">
        <v>4.1749999999999998</v>
      </c>
      <c r="AN17" s="11">
        <v>16.600000000000001</v>
      </c>
      <c r="AO17" s="11">
        <v>32.9</v>
      </c>
      <c r="AQ17" t="s">
        <v>41</v>
      </c>
      <c r="AR17" s="11">
        <v>54.625</v>
      </c>
      <c r="AS17" s="11">
        <v>6.5590000000000002</v>
      </c>
      <c r="AT17" s="11">
        <v>41.8</v>
      </c>
      <c r="AU17" s="11">
        <v>67.400000000000006</v>
      </c>
      <c r="AW17" t="s">
        <v>41</v>
      </c>
      <c r="AX17" s="11">
        <v>46.805999999999997</v>
      </c>
      <c r="AY17" s="11">
        <v>6.2750000000000004</v>
      </c>
      <c r="AZ17" s="11">
        <v>34.6</v>
      </c>
      <c r="BA17" s="11">
        <v>59.3</v>
      </c>
      <c r="BC17" t="s">
        <v>41</v>
      </c>
      <c r="BD17" s="11">
        <v>73.150999999999996</v>
      </c>
      <c r="BE17" s="11">
        <v>4.0599999999999996</v>
      </c>
      <c r="BF17" s="11">
        <v>64.900000000000006</v>
      </c>
      <c r="BG17" s="11">
        <v>80.7</v>
      </c>
      <c r="BI17" t="s">
        <v>41</v>
      </c>
      <c r="BJ17" s="11">
        <v>75.850999999999999</v>
      </c>
      <c r="BK17" s="11">
        <v>5.7110000000000003</v>
      </c>
      <c r="BL17" s="11">
        <v>64.697999999999993</v>
      </c>
      <c r="BM17" s="11">
        <v>86.9</v>
      </c>
    </row>
    <row r="18" spans="1:65" x14ac:dyDescent="0.25">
      <c r="A18" t="s">
        <v>106</v>
      </c>
      <c r="B18" s="8">
        <v>5.5746599332023834</v>
      </c>
      <c r="C18" s="8">
        <v>0.58827189804596658</v>
      </c>
      <c r="D18" s="8">
        <v>4.4216470130322891</v>
      </c>
      <c r="E18" s="8">
        <v>6.7276728533724777</v>
      </c>
      <c r="G18" t="s">
        <v>106</v>
      </c>
      <c r="H18" s="11">
        <v>0.113</v>
      </c>
      <c r="I18" s="11">
        <v>0.218</v>
      </c>
      <c r="J18" s="11">
        <v>0</v>
      </c>
      <c r="K18" s="11">
        <v>0.7</v>
      </c>
      <c r="M18" t="s">
        <v>106</v>
      </c>
      <c r="N18" s="11">
        <v>0.27800000000000002</v>
      </c>
      <c r="O18" s="11">
        <v>0.50800000000000001</v>
      </c>
      <c r="P18" s="11">
        <v>0</v>
      </c>
      <c r="Q18" s="11">
        <v>1.8</v>
      </c>
      <c r="S18" t="s">
        <v>106</v>
      </c>
      <c r="T18" s="11">
        <v>0.64700000000000002</v>
      </c>
      <c r="U18" s="11">
        <v>0.68899999999999995</v>
      </c>
      <c r="V18" s="11">
        <v>0</v>
      </c>
      <c r="W18" s="11">
        <v>2.4</v>
      </c>
      <c r="Y18" t="s">
        <v>106</v>
      </c>
      <c r="Z18" s="11">
        <v>0.126</v>
      </c>
      <c r="AA18" s="11">
        <v>0.26200000000000001</v>
      </c>
      <c r="AB18" s="11">
        <v>0</v>
      </c>
      <c r="AC18" s="11">
        <v>0.9</v>
      </c>
      <c r="AE18" t="s">
        <v>106</v>
      </c>
      <c r="AF18" s="11">
        <v>1.454</v>
      </c>
      <c r="AG18" s="11">
        <v>1.597</v>
      </c>
      <c r="AH18" s="11">
        <v>0</v>
      </c>
      <c r="AI18" s="11">
        <v>5.3</v>
      </c>
      <c r="AK18" t="s">
        <v>106</v>
      </c>
      <c r="AL18" s="11">
        <v>2.0070000000000001</v>
      </c>
      <c r="AM18" s="11">
        <v>1.7669999999999999</v>
      </c>
      <c r="AN18" s="11">
        <v>0.2</v>
      </c>
      <c r="AO18" s="11">
        <v>6.9</v>
      </c>
      <c r="AQ18" t="s">
        <v>106</v>
      </c>
      <c r="AR18" s="11">
        <v>23.826000000000001</v>
      </c>
      <c r="AS18" s="11">
        <v>5.593</v>
      </c>
      <c r="AT18" s="11">
        <v>13.5</v>
      </c>
      <c r="AU18" s="11">
        <v>35.299999999999997</v>
      </c>
      <c r="AW18" t="s">
        <v>106</v>
      </c>
      <c r="AX18" s="11">
        <v>38.082999999999998</v>
      </c>
      <c r="AY18" s="11">
        <v>6.2270000000000003</v>
      </c>
      <c r="AZ18" s="11">
        <v>26.797999999999998</v>
      </c>
      <c r="BA18" s="11">
        <v>50.6</v>
      </c>
      <c r="BC18" t="s">
        <v>106</v>
      </c>
      <c r="BD18" s="11">
        <v>24.718</v>
      </c>
      <c r="BE18" s="11">
        <v>3.9220000000000002</v>
      </c>
      <c r="BF18" s="11">
        <v>17.498000000000001</v>
      </c>
      <c r="BG18" s="11">
        <v>32.700000000000003</v>
      </c>
      <c r="BI18" t="s">
        <v>106</v>
      </c>
      <c r="BJ18" s="11">
        <v>14.926</v>
      </c>
      <c r="BK18" s="11">
        <v>4.3600000000000003</v>
      </c>
      <c r="BL18" s="11">
        <v>7.4</v>
      </c>
      <c r="BM18" s="11">
        <v>24.3</v>
      </c>
    </row>
    <row r="19" spans="1:65" x14ac:dyDescent="0.25">
      <c r="A19" t="s">
        <v>22</v>
      </c>
      <c r="B19" s="8">
        <v>13.861793413204532</v>
      </c>
      <c r="C19" s="8">
        <v>0.61489707580672603</v>
      </c>
      <c r="D19" s="8">
        <v>12.656595144623349</v>
      </c>
      <c r="E19" s="8">
        <v>15.066991681785716</v>
      </c>
      <c r="G19" t="s">
        <v>22</v>
      </c>
      <c r="H19" s="11">
        <v>0.17599999999999999</v>
      </c>
      <c r="I19" s="11">
        <v>0.28699999999999998</v>
      </c>
      <c r="J19" s="11">
        <v>0</v>
      </c>
      <c r="K19" s="11">
        <v>1</v>
      </c>
      <c r="M19" t="s">
        <v>22</v>
      </c>
      <c r="N19" s="11">
        <v>0.39500000000000002</v>
      </c>
      <c r="O19" s="11">
        <v>0.60599999999999998</v>
      </c>
      <c r="P19" s="11">
        <v>0</v>
      </c>
      <c r="Q19" s="11">
        <v>2.1</v>
      </c>
      <c r="S19" t="s">
        <v>22</v>
      </c>
      <c r="T19" s="11">
        <v>1.0629999999999999</v>
      </c>
      <c r="U19" s="11">
        <v>1.026</v>
      </c>
      <c r="V19" s="11">
        <v>0</v>
      </c>
      <c r="W19" s="11">
        <v>3.8</v>
      </c>
      <c r="Y19" t="s">
        <v>22</v>
      </c>
      <c r="Z19" s="11">
        <v>0.27700000000000002</v>
      </c>
      <c r="AA19" s="11">
        <v>0.497</v>
      </c>
      <c r="AB19" s="11">
        <v>0</v>
      </c>
      <c r="AC19" s="11">
        <v>1.7</v>
      </c>
      <c r="AE19" t="s">
        <v>22</v>
      </c>
      <c r="AF19" s="11">
        <v>3.8889999999999998</v>
      </c>
      <c r="AG19" s="11">
        <v>2.101</v>
      </c>
      <c r="AH19" s="11">
        <v>0.59799999999999998</v>
      </c>
      <c r="AI19" s="11">
        <v>8.6999999999999993</v>
      </c>
      <c r="AK19" t="s">
        <v>22</v>
      </c>
      <c r="AL19" s="11">
        <v>24.344000000000001</v>
      </c>
      <c r="AM19" s="11">
        <v>3.9340000000000002</v>
      </c>
      <c r="AN19" s="11">
        <v>16.899999999999999</v>
      </c>
      <c r="AO19" s="11">
        <v>32.1</v>
      </c>
      <c r="AQ19" t="s">
        <v>22</v>
      </c>
      <c r="AR19" s="11">
        <v>73.686999999999998</v>
      </c>
      <c r="AS19" s="11">
        <v>3.8639999999999999</v>
      </c>
      <c r="AT19" s="11">
        <v>65.900000000000006</v>
      </c>
      <c r="AU19" s="11">
        <v>81</v>
      </c>
      <c r="AW19" t="s">
        <v>22</v>
      </c>
      <c r="AX19" s="11">
        <v>72.838999999999999</v>
      </c>
      <c r="AY19" s="11">
        <v>3.871</v>
      </c>
      <c r="AZ19" s="11">
        <v>64.900000000000006</v>
      </c>
      <c r="BA19" s="11">
        <v>80</v>
      </c>
      <c r="BC19" t="s">
        <v>22</v>
      </c>
      <c r="BD19" s="11">
        <v>56.606000000000002</v>
      </c>
      <c r="BE19" s="11">
        <v>4.056</v>
      </c>
      <c r="BF19" s="11">
        <v>48.5</v>
      </c>
      <c r="BG19" s="11">
        <v>64.402000000000001</v>
      </c>
      <c r="BI19" t="s">
        <v>22</v>
      </c>
      <c r="BJ19" s="11">
        <v>26.661000000000001</v>
      </c>
      <c r="BK19" s="11">
        <v>4.798</v>
      </c>
      <c r="BL19" s="11">
        <v>17.8</v>
      </c>
      <c r="BM19" s="11">
        <v>36.4</v>
      </c>
    </row>
    <row r="20" spans="1:65" x14ac:dyDescent="0.25">
      <c r="A20" t="s">
        <v>42</v>
      </c>
      <c r="B20" s="8">
        <v>94.22108173763425</v>
      </c>
      <c r="C20" s="8">
        <v>0.59218617560236653</v>
      </c>
      <c r="D20" s="8">
        <v>93.060396833453609</v>
      </c>
      <c r="E20" s="8">
        <v>95.381766641814892</v>
      </c>
      <c r="G20" t="s">
        <v>42</v>
      </c>
      <c r="H20" s="11">
        <v>99.876999999999995</v>
      </c>
      <c r="I20" s="11">
        <v>0.223</v>
      </c>
      <c r="J20" s="11">
        <v>99.2</v>
      </c>
      <c r="K20" s="11">
        <v>100</v>
      </c>
      <c r="M20" t="s">
        <v>42</v>
      </c>
      <c r="N20" s="11">
        <v>99.71</v>
      </c>
      <c r="O20" s="11">
        <v>0.51</v>
      </c>
      <c r="P20" s="11">
        <v>98.1</v>
      </c>
      <c r="Q20" s="11">
        <v>100</v>
      </c>
      <c r="S20" t="s">
        <v>42</v>
      </c>
      <c r="T20" s="11">
        <v>99.313000000000002</v>
      </c>
      <c r="U20" s="11">
        <v>0.70399999999999996</v>
      </c>
      <c r="V20" s="11">
        <v>97.5</v>
      </c>
      <c r="W20" s="11">
        <v>100</v>
      </c>
      <c r="Y20" t="s">
        <v>42</v>
      </c>
      <c r="Z20" s="11">
        <v>99.852000000000004</v>
      </c>
      <c r="AA20" s="11">
        <v>0.29099999999999998</v>
      </c>
      <c r="AB20" s="11">
        <v>99</v>
      </c>
      <c r="AC20" s="11">
        <v>100</v>
      </c>
      <c r="AE20" t="s">
        <v>42</v>
      </c>
      <c r="AF20" s="11">
        <v>98.290999999999997</v>
      </c>
      <c r="AG20" s="11">
        <v>1.681</v>
      </c>
      <c r="AH20" s="11">
        <v>94.3</v>
      </c>
      <c r="AI20" s="11">
        <v>100</v>
      </c>
      <c r="AK20" t="s">
        <v>42</v>
      </c>
      <c r="AL20" s="11">
        <v>97.766999999999996</v>
      </c>
      <c r="AM20" s="11">
        <v>1.895</v>
      </c>
      <c r="AN20" s="11">
        <v>92.8</v>
      </c>
      <c r="AO20" s="11">
        <v>99.8</v>
      </c>
      <c r="AQ20" t="s">
        <v>42</v>
      </c>
      <c r="AR20" s="11">
        <v>75.978999999999999</v>
      </c>
      <c r="AS20" s="11">
        <v>5.6349999999999998</v>
      </c>
      <c r="AT20" s="11">
        <v>64.5</v>
      </c>
      <c r="AU20" s="11">
        <v>86.302000000000007</v>
      </c>
      <c r="AW20" t="s">
        <v>42</v>
      </c>
      <c r="AX20" s="11">
        <v>57.902000000000001</v>
      </c>
      <c r="AY20" s="11">
        <v>5.8369999999999997</v>
      </c>
      <c r="AZ20" s="11">
        <v>46.4</v>
      </c>
      <c r="BA20" s="11">
        <v>69.2</v>
      </c>
      <c r="BC20" t="s">
        <v>42</v>
      </c>
      <c r="BD20" s="11">
        <v>75.007000000000005</v>
      </c>
      <c r="BE20" s="11">
        <v>3.956</v>
      </c>
      <c r="BF20" s="11">
        <v>67</v>
      </c>
      <c r="BG20" s="11">
        <v>82.3</v>
      </c>
      <c r="BI20" t="s">
        <v>42</v>
      </c>
      <c r="BJ20" s="11">
        <v>84.938000000000002</v>
      </c>
      <c r="BK20" s="11">
        <v>4.3609999999999998</v>
      </c>
      <c r="BL20" s="11">
        <v>75.5</v>
      </c>
      <c r="BM20" s="11">
        <v>92.5</v>
      </c>
    </row>
    <row r="21" spans="1:65" x14ac:dyDescent="0.25">
      <c r="A21" t="s">
        <v>21</v>
      </c>
      <c r="B21" s="8">
        <v>5.7789182623657576</v>
      </c>
      <c r="C21" s="8">
        <v>0.59252741306565515</v>
      </c>
      <c r="D21" s="8">
        <v>4.6175645327570738</v>
      </c>
      <c r="E21" s="8">
        <v>6.9402719919744413</v>
      </c>
      <c r="G21" t="s">
        <v>21</v>
      </c>
      <c r="H21" s="11">
        <v>0.123</v>
      </c>
      <c r="I21" s="11">
        <v>0.22600000000000001</v>
      </c>
      <c r="J21" s="11">
        <v>0</v>
      </c>
      <c r="K21" s="11">
        <v>0.8</v>
      </c>
      <c r="M21" t="s">
        <v>21</v>
      </c>
      <c r="N21" s="11">
        <v>0.28999999999999998</v>
      </c>
      <c r="O21" s="11">
        <v>0.51300000000000001</v>
      </c>
      <c r="P21" s="11">
        <v>0</v>
      </c>
      <c r="Q21" s="11">
        <v>1.9</v>
      </c>
      <c r="S21" t="s">
        <v>21</v>
      </c>
      <c r="T21" s="11">
        <v>0.68700000000000006</v>
      </c>
      <c r="U21" s="11">
        <v>0.70599999999999996</v>
      </c>
      <c r="V21" s="11">
        <v>0</v>
      </c>
      <c r="W21" s="11">
        <v>2.5</v>
      </c>
      <c r="Y21" t="s">
        <v>21</v>
      </c>
      <c r="Z21" s="11">
        <v>0.14799999999999999</v>
      </c>
      <c r="AA21" s="11">
        <v>0.29299999999999998</v>
      </c>
      <c r="AB21" s="11">
        <v>0</v>
      </c>
      <c r="AC21" s="11">
        <v>1</v>
      </c>
      <c r="AE21" t="s">
        <v>21</v>
      </c>
      <c r="AF21" s="11">
        <v>1.7090000000000001</v>
      </c>
      <c r="AG21" s="11">
        <v>1.6830000000000001</v>
      </c>
      <c r="AH21" s="11">
        <v>0</v>
      </c>
      <c r="AI21" s="11">
        <v>5.7</v>
      </c>
      <c r="AK21" t="s">
        <v>21</v>
      </c>
      <c r="AL21" s="11">
        <v>2.2330000000000001</v>
      </c>
      <c r="AM21" s="11">
        <v>1.8939999999999999</v>
      </c>
      <c r="AN21" s="11">
        <v>0.2</v>
      </c>
      <c r="AO21" s="11">
        <v>7.1</v>
      </c>
      <c r="AQ21" t="s">
        <v>21</v>
      </c>
      <c r="AR21" s="11">
        <v>24.021000000000001</v>
      </c>
      <c r="AS21" s="11">
        <v>5.6349999999999998</v>
      </c>
      <c r="AT21" s="11">
        <v>13.7</v>
      </c>
      <c r="AU21" s="11">
        <v>35.5</v>
      </c>
      <c r="AW21" t="s">
        <v>21</v>
      </c>
      <c r="AX21" s="11">
        <v>42.097999999999999</v>
      </c>
      <c r="AY21" s="11">
        <v>5.8369999999999997</v>
      </c>
      <c r="AZ21" s="11">
        <v>30.9</v>
      </c>
      <c r="BA21" s="11">
        <v>53.6</v>
      </c>
      <c r="BC21" t="s">
        <v>21</v>
      </c>
      <c r="BD21" s="11">
        <v>24.992999999999999</v>
      </c>
      <c r="BE21" s="11">
        <v>3.956</v>
      </c>
      <c r="BF21" s="11">
        <v>17.7</v>
      </c>
      <c r="BG21" s="11">
        <v>33</v>
      </c>
      <c r="BI21" t="s">
        <v>21</v>
      </c>
      <c r="BJ21" s="11">
        <v>15.061999999999999</v>
      </c>
      <c r="BK21" s="11">
        <v>4.3609999999999998</v>
      </c>
      <c r="BL21" s="11">
        <v>7.5</v>
      </c>
      <c r="BM21" s="11">
        <v>24.402000000000001</v>
      </c>
    </row>
    <row r="23" spans="1:65" x14ac:dyDescent="0.25">
      <c r="A23" s="5" t="s">
        <v>140</v>
      </c>
      <c r="G23" s="16" t="s">
        <v>195</v>
      </c>
    </row>
    <row r="24" spans="1:65" x14ac:dyDescent="0.25">
      <c r="A24" t="s">
        <v>64</v>
      </c>
      <c r="B24" s="6" t="s">
        <v>73</v>
      </c>
      <c r="C24" s="6" t="s">
        <v>34</v>
      </c>
      <c r="D24" s="14" t="s">
        <v>35</v>
      </c>
      <c r="E24" s="14"/>
      <c r="G24" s="16" t="s">
        <v>196</v>
      </c>
    </row>
    <row r="25" spans="1:65" x14ac:dyDescent="0.25">
      <c r="A25" t="s">
        <v>9</v>
      </c>
      <c r="B25" s="8">
        <v>98.774460675577032</v>
      </c>
      <c r="C25" s="8">
        <v>0.52525215496919042</v>
      </c>
      <c r="D25" s="8">
        <v>97.744966451837414</v>
      </c>
      <c r="E25" s="8">
        <v>99.803954899316651</v>
      </c>
      <c r="G25" s="17" t="s">
        <v>197</v>
      </c>
    </row>
    <row r="26" spans="1:65" x14ac:dyDescent="0.25">
      <c r="A26" s="6" t="s">
        <v>10</v>
      </c>
      <c r="B26" s="8">
        <v>88.05797976190587</v>
      </c>
      <c r="C26" s="8">
        <v>2.3936776786004899</v>
      </c>
      <c r="D26" s="8">
        <v>83.366371511848911</v>
      </c>
      <c r="E26" s="8">
        <v>92.749588011962828</v>
      </c>
      <c r="G26" s="18" t="s">
        <v>198</v>
      </c>
    </row>
    <row r="27" spans="1:65" x14ac:dyDescent="0.25">
      <c r="A27" s="6" t="s">
        <v>101</v>
      </c>
      <c r="B27" s="8">
        <v>10.664897822167818</v>
      </c>
      <c r="C27" s="8">
        <v>2.4126207016566763</v>
      </c>
      <c r="D27" s="8">
        <v>5.936161246920733</v>
      </c>
      <c r="E27" s="8">
        <v>15.393634397414903</v>
      </c>
      <c r="G27" s="18" t="s">
        <v>199</v>
      </c>
    </row>
    <row r="28" spans="1:65" x14ac:dyDescent="0.25">
      <c r="A28" s="9" t="s">
        <v>126</v>
      </c>
      <c r="B28" s="8">
        <v>9.2296103082991916</v>
      </c>
      <c r="C28" s="8">
        <v>2.5779717665981146</v>
      </c>
      <c r="D28" s="8">
        <v>4.1767856457668868</v>
      </c>
      <c r="E28" s="8">
        <v>14.282434970831495</v>
      </c>
      <c r="G28" s="18" t="s">
        <v>200</v>
      </c>
    </row>
    <row r="29" spans="1:65" x14ac:dyDescent="0.25">
      <c r="A29" s="9" t="s">
        <v>103</v>
      </c>
      <c r="B29" s="8">
        <v>1.4341980247131625</v>
      </c>
      <c r="C29" s="8">
        <v>0.82048102032796177</v>
      </c>
      <c r="D29" s="8">
        <v>0</v>
      </c>
      <c r="E29" s="8">
        <v>3.0423408245559678</v>
      </c>
      <c r="G29" s="16" t="s">
        <v>201</v>
      </c>
    </row>
    <row r="30" spans="1:65" x14ac:dyDescent="0.25">
      <c r="A30" t="s">
        <v>11</v>
      </c>
      <c r="B30" s="8">
        <v>1.2255393244229664</v>
      </c>
      <c r="C30" s="8">
        <v>0.52509989253262457</v>
      </c>
      <c r="D30" s="8">
        <v>0.19634353505902236</v>
      </c>
      <c r="E30" s="8">
        <v>2.2547351137869107</v>
      </c>
      <c r="G30" s="16" t="s">
        <v>202</v>
      </c>
    </row>
    <row r="31" spans="1:65" x14ac:dyDescent="0.25">
      <c r="A31" s="6" t="s">
        <v>103</v>
      </c>
      <c r="B31" s="8">
        <v>0.2616137753381314</v>
      </c>
      <c r="C31" s="8">
        <v>0.23229710456695626</v>
      </c>
      <c r="D31" s="8">
        <v>0</v>
      </c>
      <c r="E31" s="8">
        <v>0.7169161002893657</v>
      </c>
      <c r="G31" s="16" t="s">
        <v>203</v>
      </c>
    </row>
    <row r="32" spans="1:65" x14ac:dyDescent="0.25">
      <c r="A32" s="6" t="s">
        <v>38</v>
      </c>
      <c r="B32" s="8">
        <v>0.44599856217230821</v>
      </c>
      <c r="C32" s="8">
        <v>0.40350387196976406</v>
      </c>
      <c r="D32" s="8">
        <v>0</v>
      </c>
      <c r="E32" s="8">
        <v>1.2368661512330457</v>
      </c>
      <c r="G32" s="16" t="s">
        <v>204</v>
      </c>
    </row>
    <row r="33" spans="1:7" x14ac:dyDescent="0.25">
      <c r="A33" s="6" t="s">
        <v>104</v>
      </c>
      <c r="B33" s="8">
        <v>0.36466459486703495</v>
      </c>
      <c r="C33" s="8">
        <v>0.28412617914776994</v>
      </c>
      <c r="D33" s="8">
        <v>0</v>
      </c>
      <c r="E33" s="8">
        <v>0.92155190599666403</v>
      </c>
      <c r="G33" s="16" t="s">
        <v>205</v>
      </c>
    </row>
    <row r="34" spans="1:7" x14ac:dyDescent="0.25">
      <c r="A34" s="9" t="s">
        <v>14</v>
      </c>
      <c r="B34" s="8">
        <v>5.7746090715137255E-2</v>
      </c>
      <c r="C34" s="8">
        <v>0.11733445814867677</v>
      </c>
      <c r="D34" s="8">
        <v>0</v>
      </c>
      <c r="E34" s="8">
        <v>0.28772162868654372</v>
      </c>
      <c r="G34" s="16" t="s">
        <v>206</v>
      </c>
    </row>
    <row r="35" spans="1:7" x14ac:dyDescent="0.25">
      <c r="A35" s="9" t="s">
        <v>15</v>
      </c>
      <c r="B35" s="8">
        <v>0.31348513461843786</v>
      </c>
      <c r="C35" s="8">
        <v>0.26950145730154496</v>
      </c>
      <c r="D35" s="8">
        <v>0</v>
      </c>
      <c r="E35" s="8">
        <v>0.84170799092946591</v>
      </c>
      <c r="G35" s="16" t="s">
        <v>207</v>
      </c>
    </row>
    <row r="36" spans="1:7" x14ac:dyDescent="0.25">
      <c r="A36" s="6" t="s">
        <v>105</v>
      </c>
      <c r="B36" s="8">
        <v>0.19485364830574953</v>
      </c>
      <c r="C36" s="8">
        <v>0.21860338749814665</v>
      </c>
      <c r="D36" s="8">
        <v>0</v>
      </c>
      <c r="E36" s="8">
        <v>0.62331628780211701</v>
      </c>
      <c r="G36" s="16" t="s">
        <v>208</v>
      </c>
    </row>
    <row r="37" spans="1:7" x14ac:dyDescent="0.25">
      <c r="A37" s="9" t="s">
        <v>17</v>
      </c>
      <c r="B37" s="8">
        <v>0.17325655148700789</v>
      </c>
      <c r="C37" s="8">
        <v>0.21290936040517136</v>
      </c>
      <c r="D37" s="8">
        <v>0</v>
      </c>
      <c r="E37" s="8">
        <v>0.5905588978811438</v>
      </c>
      <c r="G37" s="16" t="s">
        <v>209</v>
      </c>
    </row>
    <row r="38" spans="1:7" x14ac:dyDescent="0.25">
      <c r="A38" s="9" t="s">
        <v>18</v>
      </c>
      <c r="B38" s="8">
        <v>2.6346043460819785E-2</v>
      </c>
      <c r="C38" s="8">
        <v>5.4464738767860205E-2</v>
      </c>
      <c r="D38" s="8">
        <v>0</v>
      </c>
      <c r="E38" s="8">
        <v>0.13309693144582579</v>
      </c>
      <c r="G38" s="16" t="s">
        <v>210</v>
      </c>
    </row>
    <row r="39" spans="1:7" x14ac:dyDescent="0.25">
      <c r="A39" t="s">
        <v>41</v>
      </c>
      <c r="B39" s="8">
        <v>0.69207384121234106</v>
      </c>
      <c r="C39" s="8">
        <v>0.46637602113262283</v>
      </c>
      <c r="D39" s="8">
        <v>0</v>
      </c>
      <c r="E39" s="8">
        <v>1.6061708426322818</v>
      </c>
      <c r="G39" s="16" t="s">
        <v>211</v>
      </c>
    </row>
    <row r="40" spans="1:7" x14ac:dyDescent="0.25">
      <c r="A40" t="s">
        <v>106</v>
      </c>
      <c r="B40" s="8">
        <v>0.49545457150292216</v>
      </c>
      <c r="C40" s="8">
        <v>0.33432877421908264</v>
      </c>
      <c r="D40" s="8">
        <v>0</v>
      </c>
      <c r="E40" s="8">
        <v>1.1507389689723242</v>
      </c>
      <c r="G40" s="16" t="s">
        <v>212</v>
      </c>
    </row>
    <row r="41" spans="1:7" x14ac:dyDescent="0.25">
      <c r="A41" t="s">
        <v>22</v>
      </c>
      <c r="B41" s="8">
        <v>0.97665171454258659</v>
      </c>
      <c r="C41" s="8">
        <v>0.47095113905121466</v>
      </c>
      <c r="D41" s="8">
        <v>5.3587482002205866E-2</v>
      </c>
      <c r="E41" s="8">
        <v>1.8997159470829672</v>
      </c>
      <c r="G41" s="19" t="s">
        <v>213</v>
      </c>
    </row>
    <row r="42" spans="1:7" x14ac:dyDescent="0.25">
      <c r="A42" t="s">
        <v>42</v>
      </c>
      <c r="B42" s="8">
        <v>99.453963990425123</v>
      </c>
      <c r="C42" s="8">
        <v>0.34434626424971032</v>
      </c>
      <c r="D42" s="8">
        <v>98.779045312495697</v>
      </c>
      <c r="E42" s="8">
        <v>100</v>
      </c>
    </row>
    <row r="43" spans="1:7" x14ac:dyDescent="0.25">
      <c r="A43" t="s">
        <v>21</v>
      </c>
      <c r="B43" s="8">
        <v>0.54603600957487086</v>
      </c>
      <c r="C43" s="8">
        <v>0.34538467306749032</v>
      </c>
      <c r="D43" s="8">
        <v>0</v>
      </c>
      <c r="E43" s="8">
        <v>1.2229899687871519</v>
      </c>
    </row>
    <row r="44" spans="1:7" x14ac:dyDescent="0.25">
      <c r="B44" s="11"/>
      <c r="C44" s="11"/>
      <c r="D44" s="11"/>
      <c r="E44" s="11"/>
    </row>
    <row r="45" spans="1:7" x14ac:dyDescent="0.25">
      <c r="A45" s="5" t="s">
        <v>108</v>
      </c>
    </row>
    <row r="46" spans="1:7" x14ac:dyDescent="0.25">
      <c r="A46" t="s">
        <v>64</v>
      </c>
      <c r="B46" s="6" t="s">
        <v>73</v>
      </c>
      <c r="C46" s="6" t="s">
        <v>34</v>
      </c>
      <c r="D46" s="14" t="s">
        <v>35</v>
      </c>
      <c r="E46" s="14"/>
    </row>
    <row r="47" spans="1:7" x14ac:dyDescent="0.25">
      <c r="A47" t="s">
        <v>9</v>
      </c>
      <c r="B47" s="8">
        <v>19.771527503730574</v>
      </c>
      <c r="C47" s="8">
        <v>1.3155755504307576</v>
      </c>
      <c r="D47" s="8">
        <v>17.192999424886288</v>
      </c>
      <c r="E47" s="8">
        <v>22.350055582574861</v>
      </c>
    </row>
    <row r="48" spans="1:7" x14ac:dyDescent="0.25">
      <c r="A48" s="6" t="s">
        <v>10</v>
      </c>
      <c r="B48" s="8">
        <v>9.685932936088955</v>
      </c>
      <c r="C48" s="8">
        <v>1.3022328062799406</v>
      </c>
      <c r="D48" s="8">
        <v>7.1335566357802715</v>
      </c>
      <c r="E48" s="8">
        <v>12.238309236397638</v>
      </c>
    </row>
    <row r="49" spans="1:5" x14ac:dyDescent="0.25">
      <c r="A49" s="6" t="s">
        <v>101</v>
      </c>
      <c r="B49" s="8">
        <v>10.083340330750609</v>
      </c>
      <c r="C49" s="8">
        <v>1.6957028671913932</v>
      </c>
      <c r="D49" s="8">
        <v>6.7597627110554779</v>
      </c>
      <c r="E49" s="8">
        <v>13.40691795044574</v>
      </c>
    </row>
    <row r="50" spans="1:5" x14ac:dyDescent="0.25">
      <c r="A50" s="9" t="s">
        <v>126</v>
      </c>
      <c r="B50" s="8">
        <v>6.7223325049679952</v>
      </c>
      <c r="C50" s="8">
        <v>1.9402305795883525</v>
      </c>
      <c r="D50" s="8">
        <v>2.9194805689748242</v>
      </c>
      <c r="E50" s="8">
        <v>10.525184440961166</v>
      </c>
    </row>
    <row r="51" spans="1:5" x14ac:dyDescent="0.25">
      <c r="A51" s="9" t="s">
        <v>103</v>
      </c>
      <c r="B51" s="8">
        <v>3.3684946732252503</v>
      </c>
      <c r="C51" s="8">
        <v>1.0319353293202507</v>
      </c>
      <c r="D51" s="8">
        <v>1.3459014277575592</v>
      </c>
      <c r="E51" s="8">
        <v>5.391087918692941</v>
      </c>
    </row>
    <row r="52" spans="1:5" x14ac:dyDescent="0.25">
      <c r="A52" t="s">
        <v>11</v>
      </c>
      <c r="B52" s="8">
        <v>80.228472496269433</v>
      </c>
      <c r="C52" s="8">
        <v>1.3157375269525353</v>
      </c>
      <c r="D52" s="8">
        <v>77.649626943442456</v>
      </c>
      <c r="E52" s="8">
        <v>82.807318049096409</v>
      </c>
    </row>
    <row r="53" spans="1:5" x14ac:dyDescent="0.25">
      <c r="A53" s="6" t="s">
        <v>103</v>
      </c>
      <c r="B53" s="8">
        <v>26.193842390436846</v>
      </c>
      <c r="C53" s="8">
        <v>1.892936754996142</v>
      </c>
      <c r="D53" s="8">
        <v>22.483686350644408</v>
      </c>
      <c r="E53" s="8">
        <v>29.903998430229283</v>
      </c>
    </row>
    <row r="54" spans="1:5" x14ac:dyDescent="0.25">
      <c r="A54" s="6" t="s">
        <v>38</v>
      </c>
      <c r="B54" s="8">
        <v>31.936061704187171</v>
      </c>
      <c r="C54" s="8">
        <v>2.5153811562316011</v>
      </c>
      <c r="D54" s="8">
        <v>27.005914637973234</v>
      </c>
      <c r="E54" s="8">
        <v>36.866208770401109</v>
      </c>
    </row>
    <row r="55" spans="1:5" x14ac:dyDescent="0.25">
      <c r="A55" s="6" t="s">
        <v>104</v>
      </c>
      <c r="B55" s="8">
        <v>11.932134840987537</v>
      </c>
      <c r="C55" s="8">
        <v>2.0654650739527187</v>
      </c>
      <c r="D55" s="8">
        <v>7.8838232960402079</v>
      </c>
      <c r="E55" s="8">
        <v>15.980446385934865</v>
      </c>
    </row>
    <row r="56" spans="1:5" x14ac:dyDescent="0.25">
      <c r="A56" s="9" t="s">
        <v>14</v>
      </c>
      <c r="B56" s="8">
        <v>0.68706702144328879</v>
      </c>
      <c r="C56" s="8">
        <v>0.74775181406481406</v>
      </c>
      <c r="D56" s="8">
        <v>0</v>
      </c>
      <c r="E56" s="8">
        <v>2.1526605770103244</v>
      </c>
    </row>
    <row r="57" spans="1:5" x14ac:dyDescent="0.25">
      <c r="A57" s="9" t="s">
        <v>15</v>
      </c>
      <c r="B57" s="8">
        <v>11.249841816389919</v>
      </c>
      <c r="C57" s="8">
        <v>2.0591388858127795</v>
      </c>
      <c r="D57" s="8">
        <v>7.2139296001968711</v>
      </c>
      <c r="E57" s="8">
        <v>15.285754032582968</v>
      </c>
    </row>
    <row r="58" spans="1:5" x14ac:dyDescent="0.25">
      <c r="A58" s="6" t="s">
        <v>105</v>
      </c>
      <c r="B58" s="8">
        <v>10.154896336204056</v>
      </c>
      <c r="C58" s="8">
        <v>1.0955202907398185</v>
      </c>
      <c r="D58" s="8">
        <v>8.0076765663540108</v>
      </c>
      <c r="E58" s="8">
        <v>12.3021161060541</v>
      </c>
    </row>
    <row r="59" spans="1:5" x14ac:dyDescent="0.25">
      <c r="A59" s="9" t="s">
        <v>17</v>
      </c>
      <c r="B59" s="8">
        <v>9.5268932126272752</v>
      </c>
      <c r="C59" s="8">
        <v>1.0114788569026318</v>
      </c>
      <c r="D59" s="8">
        <v>7.5443946530981165</v>
      </c>
      <c r="E59" s="8">
        <v>11.509391772156434</v>
      </c>
    </row>
    <row r="60" spans="1:5" x14ac:dyDescent="0.25">
      <c r="A60" s="9" t="s">
        <v>18</v>
      </c>
      <c r="B60" s="8">
        <v>0.62903493192711357</v>
      </c>
      <c r="C60" s="8">
        <v>0.43504930364079408</v>
      </c>
      <c r="D60" s="8">
        <v>0</v>
      </c>
      <c r="E60" s="8">
        <v>1.48173156706307</v>
      </c>
    </row>
    <row r="61" spans="1:5" x14ac:dyDescent="0.25">
      <c r="A61" t="s">
        <v>41</v>
      </c>
      <c r="B61" s="8">
        <v>58.126024602011213</v>
      </c>
      <c r="C61" s="8">
        <v>2.4549390320387556</v>
      </c>
      <c r="D61" s="8">
        <v>53.314344099215255</v>
      </c>
      <c r="E61" s="8">
        <v>62.937705104807172</v>
      </c>
    </row>
    <row r="62" spans="1:5" x14ac:dyDescent="0.25">
      <c r="A62" t="s">
        <v>106</v>
      </c>
      <c r="B62" s="8">
        <v>21.409496629670901</v>
      </c>
      <c r="C62" s="8">
        <v>2.1865378742523878</v>
      </c>
      <c r="D62" s="8">
        <v>17.123882396136221</v>
      </c>
      <c r="E62" s="8">
        <v>25.695110863205581</v>
      </c>
    </row>
    <row r="63" spans="1:5" x14ac:dyDescent="0.25">
      <c r="A63" t="s">
        <v>22</v>
      </c>
      <c r="B63" s="8">
        <v>54.032272864128068</v>
      </c>
      <c r="C63" s="8">
        <v>2.0627083954573129</v>
      </c>
      <c r="D63" s="8">
        <v>49.989364409031737</v>
      </c>
      <c r="E63" s="8">
        <v>58.075181319224399</v>
      </c>
    </row>
    <row r="64" spans="1:5" x14ac:dyDescent="0.25">
      <c r="A64" t="s">
        <v>42</v>
      </c>
      <c r="B64" s="8">
        <v>77.907144807730901</v>
      </c>
      <c r="C64" s="8">
        <v>2.189340195517822</v>
      </c>
      <c r="D64" s="8">
        <v>73.616038024515973</v>
      </c>
      <c r="E64" s="8">
        <v>82.19825159094583</v>
      </c>
    </row>
    <row r="65" spans="1:5" x14ac:dyDescent="0.25">
      <c r="A65" t="s">
        <v>21</v>
      </c>
      <c r="B65" s="8">
        <v>22.092855192269113</v>
      </c>
      <c r="C65" s="8">
        <v>2.1893157520281794</v>
      </c>
      <c r="D65" s="8">
        <v>17.801796318293881</v>
      </c>
      <c r="E65" s="8">
        <v>26.383914066244344</v>
      </c>
    </row>
  </sheetData>
  <mergeCells count="13">
    <mergeCell ref="V2:W2"/>
    <mergeCell ref="D2:E2"/>
    <mergeCell ref="D24:E24"/>
    <mergeCell ref="D46:E46"/>
    <mergeCell ref="J2:K2"/>
    <mergeCell ref="P2:Q2"/>
    <mergeCell ref="BL2:BM2"/>
    <mergeCell ref="AB2:AC2"/>
    <mergeCell ref="AH2:AI2"/>
    <mergeCell ref="AN2:AO2"/>
    <mergeCell ref="AT2:AU2"/>
    <mergeCell ref="AZ2:BA2"/>
    <mergeCell ref="BF2:BG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1056D-E55C-4C6F-9DF5-6E0354F57BDD}">
  <dimension ref="A1:BG65"/>
  <sheetViews>
    <sheetView workbookViewId="0"/>
  </sheetViews>
  <sheetFormatPr defaultRowHeight="15" x14ac:dyDescent="0.25"/>
  <cols>
    <col min="1" max="1" width="21.28515625" customWidth="1"/>
    <col min="7" max="7" width="9.7109375" customWidth="1"/>
  </cols>
  <sheetData>
    <row r="1" spans="1:59" x14ac:dyDescent="0.25">
      <c r="A1" s="5" t="s">
        <v>151</v>
      </c>
      <c r="G1" t="s">
        <v>153</v>
      </c>
      <c r="I1" t="s">
        <v>110</v>
      </c>
      <c r="M1" s="12" t="s">
        <v>154</v>
      </c>
      <c r="O1" t="s">
        <v>110</v>
      </c>
      <c r="S1" s="12" t="s">
        <v>155</v>
      </c>
      <c r="U1" t="s">
        <v>110</v>
      </c>
      <c r="Y1" s="12" t="s">
        <v>156</v>
      </c>
      <c r="AA1" t="s">
        <v>110</v>
      </c>
      <c r="AE1" s="12" t="s">
        <v>157</v>
      </c>
      <c r="AG1" t="s">
        <v>110</v>
      </c>
      <c r="AK1" s="12" t="s">
        <v>158</v>
      </c>
      <c r="AM1" t="s">
        <v>159</v>
      </c>
      <c r="AQ1" s="12" t="s">
        <v>160</v>
      </c>
      <c r="AS1" t="s">
        <v>110</v>
      </c>
      <c r="AW1" s="12" t="s">
        <v>161</v>
      </c>
      <c r="AY1" t="s">
        <v>110</v>
      </c>
      <c r="BC1" s="12" t="s">
        <v>162</v>
      </c>
      <c r="BE1" t="s">
        <v>163</v>
      </c>
    </row>
    <row r="2" spans="1:59" x14ac:dyDescent="0.25">
      <c r="A2" t="s">
        <v>64</v>
      </c>
      <c r="B2" s="6" t="s">
        <v>65</v>
      </c>
      <c r="C2" s="6" t="s">
        <v>34</v>
      </c>
      <c r="D2" s="14" t="s">
        <v>111</v>
      </c>
      <c r="E2" s="14"/>
      <c r="G2" t="s">
        <v>64</v>
      </c>
      <c r="H2" t="s">
        <v>65</v>
      </c>
      <c r="I2" t="s">
        <v>34</v>
      </c>
      <c r="J2" s="14" t="s">
        <v>111</v>
      </c>
      <c r="K2" s="14"/>
      <c r="M2" t="s">
        <v>64</v>
      </c>
      <c r="N2" t="s">
        <v>65</v>
      </c>
      <c r="O2" t="s">
        <v>34</v>
      </c>
      <c r="P2" s="14" t="s">
        <v>111</v>
      </c>
      <c r="Q2" s="14"/>
      <c r="S2" t="s">
        <v>64</v>
      </c>
      <c r="T2" t="s">
        <v>65</v>
      </c>
      <c r="U2" t="s">
        <v>34</v>
      </c>
      <c r="V2" s="14" t="s">
        <v>111</v>
      </c>
      <c r="W2" s="14"/>
      <c r="Y2" t="s">
        <v>64</v>
      </c>
      <c r="Z2" t="s">
        <v>65</v>
      </c>
      <c r="AA2" t="s">
        <v>34</v>
      </c>
      <c r="AB2" s="14" t="s">
        <v>111</v>
      </c>
      <c r="AC2" s="14"/>
      <c r="AE2" t="s">
        <v>64</v>
      </c>
      <c r="AF2" s="6" t="s">
        <v>65</v>
      </c>
      <c r="AG2" s="6" t="s">
        <v>34</v>
      </c>
      <c r="AH2" s="14" t="s">
        <v>111</v>
      </c>
      <c r="AI2" s="14"/>
      <c r="AK2" t="s">
        <v>64</v>
      </c>
      <c r="AL2" s="6" t="s">
        <v>65</v>
      </c>
      <c r="AM2" s="6" t="s">
        <v>34</v>
      </c>
      <c r="AN2" s="14" t="s">
        <v>111</v>
      </c>
      <c r="AO2" s="14"/>
      <c r="AQ2" t="s">
        <v>64</v>
      </c>
      <c r="AR2" s="6" t="s">
        <v>65</v>
      </c>
      <c r="AS2" s="6" t="s">
        <v>34</v>
      </c>
      <c r="AT2" s="14" t="s">
        <v>111</v>
      </c>
      <c r="AU2" s="14"/>
      <c r="AW2" t="s">
        <v>64</v>
      </c>
      <c r="AX2" s="6" t="s">
        <v>65</v>
      </c>
      <c r="AY2" s="6" t="s">
        <v>34</v>
      </c>
      <c r="AZ2" s="14" t="s">
        <v>111</v>
      </c>
      <c r="BA2" s="14"/>
      <c r="BC2" t="s">
        <v>64</v>
      </c>
      <c r="BD2" s="6" t="s">
        <v>65</v>
      </c>
      <c r="BE2" s="6" t="s">
        <v>34</v>
      </c>
      <c r="BF2" s="14" t="s">
        <v>111</v>
      </c>
      <c r="BG2" s="14"/>
    </row>
    <row r="3" spans="1:59" x14ac:dyDescent="0.25">
      <c r="A3" t="s">
        <v>9</v>
      </c>
      <c r="B3" s="11">
        <v>79.965100441677677</v>
      </c>
      <c r="C3" s="11">
        <v>0.59725026051657615</v>
      </c>
      <c r="D3" s="11">
        <v>78.794489931065186</v>
      </c>
      <c r="E3" s="11">
        <v>81.135710952290168</v>
      </c>
      <c r="G3" t="s">
        <v>9</v>
      </c>
      <c r="H3" s="11">
        <v>99.248000000000005</v>
      </c>
      <c r="I3" s="11">
        <v>0.97599999999999998</v>
      </c>
      <c r="J3" s="11">
        <v>96.5</v>
      </c>
      <c r="K3" s="11">
        <v>100</v>
      </c>
      <c r="M3" t="s">
        <v>9</v>
      </c>
      <c r="N3" s="13">
        <v>98.899000000000001</v>
      </c>
      <c r="O3" s="13">
        <v>1.1439999999999999</v>
      </c>
      <c r="P3" s="13">
        <v>95.897999999999996</v>
      </c>
      <c r="Q3" s="13">
        <v>100</v>
      </c>
      <c r="S3" t="s">
        <v>9</v>
      </c>
      <c r="T3" s="11">
        <v>97.516000000000005</v>
      </c>
      <c r="U3" s="11">
        <v>1.5980000000000001</v>
      </c>
      <c r="V3" s="11">
        <v>93.8</v>
      </c>
      <c r="W3" s="11">
        <v>99.8</v>
      </c>
      <c r="Y3" t="s">
        <v>9</v>
      </c>
      <c r="Z3" s="11">
        <v>85.278000000000006</v>
      </c>
      <c r="AA3" s="11">
        <v>3.0489999999999999</v>
      </c>
      <c r="AB3" s="11">
        <v>78.900000000000006</v>
      </c>
      <c r="AC3" s="11">
        <v>90.8</v>
      </c>
      <c r="AE3" t="s">
        <v>9</v>
      </c>
      <c r="AF3" s="8">
        <v>46.332000000000001</v>
      </c>
      <c r="AG3" s="8">
        <v>5.3819999999999997</v>
      </c>
      <c r="AH3" s="8">
        <v>35.200000000000003</v>
      </c>
      <c r="AI3" s="8">
        <v>56.3</v>
      </c>
      <c r="AK3" t="s">
        <v>9</v>
      </c>
      <c r="AL3" s="11">
        <v>17.039000000000001</v>
      </c>
      <c r="AM3" s="11">
        <v>4.258</v>
      </c>
      <c r="AN3" s="11">
        <v>9.1</v>
      </c>
      <c r="AO3" s="11">
        <v>25.7</v>
      </c>
      <c r="AQ3" t="s">
        <v>9</v>
      </c>
      <c r="AR3" s="11">
        <v>3.6659999999999999</v>
      </c>
      <c r="AS3" s="11">
        <v>2.4769999999999999</v>
      </c>
      <c r="AT3" s="11">
        <v>0.3</v>
      </c>
      <c r="AU3" s="11">
        <v>9.6</v>
      </c>
      <c r="AW3" t="s">
        <v>9</v>
      </c>
      <c r="AX3" s="11">
        <v>1.8160000000000001</v>
      </c>
      <c r="AY3" s="11">
        <v>1.0229999999999999</v>
      </c>
      <c r="AZ3" s="11">
        <v>0.3</v>
      </c>
      <c r="BA3" s="11">
        <v>4.2</v>
      </c>
      <c r="BC3" t="s">
        <v>9</v>
      </c>
      <c r="BD3" s="11">
        <v>3.335</v>
      </c>
      <c r="BE3" s="11">
        <v>1.448</v>
      </c>
      <c r="BF3" s="11">
        <v>1.1000000000000001</v>
      </c>
      <c r="BG3" s="11">
        <v>6.7</v>
      </c>
    </row>
    <row r="4" spans="1:59" x14ac:dyDescent="0.25">
      <c r="A4" s="6" t="s">
        <v>10</v>
      </c>
      <c r="B4" s="11">
        <v>63.809418028386311</v>
      </c>
      <c r="C4" s="11">
        <v>2.8213703642687271</v>
      </c>
      <c r="D4" s="11">
        <v>58.279532114419609</v>
      </c>
      <c r="E4" s="11">
        <v>69.339303942353013</v>
      </c>
      <c r="G4" s="6" t="s">
        <v>10</v>
      </c>
      <c r="H4" s="11">
        <v>77.846000000000004</v>
      </c>
      <c r="I4" s="11">
        <v>5.9539999999999997</v>
      </c>
      <c r="J4" s="11">
        <v>65.900000000000006</v>
      </c>
      <c r="K4" s="11">
        <v>89.201999999999998</v>
      </c>
      <c r="M4" s="6" t="s">
        <v>10</v>
      </c>
      <c r="N4" s="13">
        <v>85.962999999999994</v>
      </c>
      <c r="O4" s="13">
        <v>5.9160000000000004</v>
      </c>
      <c r="P4" s="13">
        <v>74.099999999999994</v>
      </c>
      <c r="Q4" s="13">
        <v>96.6</v>
      </c>
      <c r="S4" s="6" t="s">
        <v>10</v>
      </c>
      <c r="T4" s="11">
        <v>74</v>
      </c>
      <c r="U4" s="11">
        <v>5.4450000000000003</v>
      </c>
      <c r="V4" s="11">
        <v>63.3</v>
      </c>
      <c r="W4" s="11">
        <v>85.1</v>
      </c>
      <c r="Y4" s="6" t="s">
        <v>10</v>
      </c>
      <c r="Z4" s="11">
        <v>52.186999999999998</v>
      </c>
      <c r="AA4" s="11">
        <v>6.4050000000000002</v>
      </c>
      <c r="AB4" s="11">
        <v>39.4</v>
      </c>
      <c r="AC4" s="11">
        <v>63.6</v>
      </c>
      <c r="AE4" s="6" t="s">
        <v>10</v>
      </c>
      <c r="AF4" s="8">
        <v>9.6790000000000003</v>
      </c>
      <c r="AG4" s="8">
        <v>4.29</v>
      </c>
      <c r="AH4" s="8">
        <v>2.1</v>
      </c>
      <c r="AI4" s="8">
        <v>19.001999999999999</v>
      </c>
      <c r="AK4" s="6" t="s">
        <v>10</v>
      </c>
      <c r="AL4" s="11">
        <v>9.6669999999999998</v>
      </c>
      <c r="AM4" s="11">
        <v>2.492</v>
      </c>
      <c r="AN4" s="11">
        <v>5.0999999999999996</v>
      </c>
      <c r="AO4" s="11">
        <v>15</v>
      </c>
      <c r="AQ4" s="6" t="s">
        <v>10</v>
      </c>
      <c r="AR4" s="11">
        <v>0.877</v>
      </c>
      <c r="AS4" s="11">
        <v>0.81899999999999995</v>
      </c>
      <c r="AT4" s="11">
        <v>0</v>
      </c>
      <c r="AU4" s="11">
        <v>3</v>
      </c>
      <c r="AW4" s="6" t="s">
        <v>10</v>
      </c>
      <c r="AX4" s="11">
        <v>1.4339999999999999</v>
      </c>
      <c r="AY4" s="11">
        <v>0.89800000000000002</v>
      </c>
      <c r="AZ4" s="11">
        <v>0.1</v>
      </c>
      <c r="BA4" s="11">
        <v>3.5</v>
      </c>
      <c r="BC4" s="6" t="s">
        <v>10</v>
      </c>
      <c r="BD4" s="11">
        <v>2.992</v>
      </c>
      <c r="BE4" s="11">
        <v>1.343</v>
      </c>
      <c r="BF4" s="11">
        <v>0.9</v>
      </c>
      <c r="BG4" s="11">
        <v>6.1</v>
      </c>
    </row>
    <row r="5" spans="1:59" x14ac:dyDescent="0.25">
      <c r="A5" s="6" t="s">
        <v>101</v>
      </c>
      <c r="B5" s="11">
        <v>16.12258745537946</v>
      </c>
      <c r="C5" s="11">
        <v>2.8620507240081872</v>
      </c>
      <c r="D5" s="11">
        <v>10.512968036323413</v>
      </c>
      <c r="E5" s="11">
        <v>21.732206874435505</v>
      </c>
      <c r="G5" s="6" t="s">
        <v>101</v>
      </c>
      <c r="H5" s="11">
        <v>21.356000000000002</v>
      </c>
      <c r="I5" s="11">
        <v>5.9619999999999997</v>
      </c>
      <c r="J5" s="11">
        <v>9.9</v>
      </c>
      <c r="K5" s="11">
        <v>33.299999999999997</v>
      </c>
      <c r="M5" s="6" t="s">
        <v>101</v>
      </c>
      <c r="N5" s="13">
        <v>12.888999999999999</v>
      </c>
      <c r="O5" s="13">
        <v>6.0179999999999998</v>
      </c>
      <c r="P5" s="13">
        <v>2</v>
      </c>
      <c r="Q5" s="13">
        <v>24.8</v>
      </c>
      <c r="S5" s="6" t="s">
        <v>101</v>
      </c>
      <c r="T5" s="11">
        <v>23.491</v>
      </c>
      <c r="U5" s="11">
        <v>5.58</v>
      </c>
      <c r="V5" s="11">
        <v>12.3</v>
      </c>
      <c r="W5" s="11">
        <v>34.5</v>
      </c>
      <c r="Y5" s="6" t="s">
        <v>101</v>
      </c>
      <c r="Z5" s="11">
        <v>33.084000000000003</v>
      </c>
      <c r="AA5" s="11">
        <v>6.7590000000000003</v>
      </c>
      <c r="AB5" s="11">
        <v>21.1</v>
      </c>
      <c r="AC5" s="11">
        <v>46.8</v>
      </c>
      <c r="AE5" s="6" t="s">
        <v>101</v>
      </c>
      <c r="AF5" s="8">
        <v>36.645000000000003</v>
      </c>
      <c r="AG5" s="8">
        <v>6.569</v>
      </c>
      <c r="AH5" s="8">
        <v>23.6</v>
      </c>
      <c r="AI5" s="8">
        <v>48.9</v>
      </c>
      <c r="AK5" s="6" t="s">
        <v>101</v>
      </c>
      <c r="AL5" s="11">
        <v>7.3659999999999997</v>
      </c>
      <c r="AM5" s="11">
        <v>4.165</v>
      </c>
      <c r="AN5" s="11">
        <v>0.1</v>
      </c>
      <c r="AO5" s="11">
        <v>15.702</v>
      </c>
      <c r="AQ5" s="6" t="s">
        <v>101</v>
      </c>
      <c r="AR5" s="11">
        <v>2.786</v>
      </c>
      <c r="AS5" s="11">
        <v>2.581</v>
      </c>
      <c r="AT5" s="11">
        <v>0</v>
      </c>
      <c r="AU5" s="11">
        <v>8.8000000000000007</v>
      </c>
      <c r="AW5" s="6" t="s">
        <v>101</v>
      </c>
      <c r="AX5" s="11">
        <v>0.39</v>
      </c>
      <c r="AY5" s="11">
        <v>0.68600000000000005</v>
      </c>
      <c r="AZ5" s="11">
        <v>0</v>
      </c>
      <c r="BA5" s="11">
        <v>2.5</v>
      </c>
      <c r="BC5" s="6" t="s">
        <v>101</v>
      </c>
      <c r="BD5" s="11">
        <v>0.35199999999999998</v>
      </c>
      <c r="BE5" s="11">
        <v>0.68300000000000005</v>
      </c>
      <c r="BF5" s="11">
        <v>0</v>
      </c>
      <c r="BG5" s="11">
        <v>2.4</v>
      </c>
    </row>
    <row r="6" spans="1:59" x14ac:dyDescent="0.25">
      <c r="A6" s="9" t="s">
        <v>126</v>
      </c>
      <c r="B6" s="11">
        <v>12.823106093343778</v>
      </c>
      <c r="C6" s="11">
        <v>3.0992449354038145</v>
      </c>
      <c r="D6" s="11">
        <v>6.7485860199523016</v>
      </c>
      <c r="E6" s="11">
        <v>18.897626166735254</v>
      </c>
      <c r="G6" s="9" t="s">
        <v>126</v>
      </c>
      <c r="H6" s="11">
        <v>19.346</v>
      </c>
      <c r="I6" s="11">
        <v>6.59</v>
      </c>
      <c r="J6" s="11">
        <v>6.5</v>
      </c>
      <c r="K6" s="11">
        <v>32.5</v>
      </c>
      <c r="M6" s="9" t="s">
        <v>126</v>
      </c>
      <c r="N6" s="13">
        <v>11.042</v>
      </c>
      <c r="O6" s="13">
        <v>6.4420000000000002</v>
      </c>
      <c r="P6" s="13">
        <v>0</v>
      </c>
      <c r="Q6" s="13">
        <v>23.7</v>
      </c>
      <c r="S6" s="9" t="s">
        <v>126</v>
      </c>
      <c r="T6" s="11">
        <v>11.827</v>
      </c>
      <c r="U6" s="11">
        <v>5.6390000000000002</v>
      </c>
      <c r="V6" s="11">
        <v>0.1</v>
      </c>
      <c r="W6" s="11">
        <v>22.9</v>
      </c>
      <c r="Y6" s="9" t="s">
        <v>126</v>
      </c>
      <c r="Z6" s="11">
        <v>14.804</v>
      </c>
      <c r="AA6" s="11">
        <v>7.3440000000000003</v>
      </c>
      <c r="AB6" s="11">
        <v>0.9</v>
      </c>
      <c r="AC6" s="11">
        <v>29.6</v>
      </c>
      <c r="AE6" s="9" t="s">
        <v>126</v>
      </c>
      <c r="AF6" s="8">
        <v>30.844000000000001</v>
      </c>
      <c r="AG6" s="8">
        <v>7.0579999999999998</v>
      </c>
      <c r="AH6" s="8">
        <v>17.399999999999999</v>
      </c>
      <c r="AI6" s="8">
        <v>44.9</v>
      </c>
      <c r="AK6" s="9" t="s">
        <v>126</v>
      </c>
      <c r="AL6" s="11">
        <v>6.44</v>
      </c>
      <c r="AM6" s="11">
        <v>4.5019999999999998</v>
      </c>
      <c r="AN6" s="11">
        <v>0</v>
      </c>
      <c r="AO6" s="11">
        <v>15.3</v>
      </c>
      <c r="AQ6" s="9" t="s">
        <v>126</v>
      </c>
      <c r="AR6" s="11">
        <v>2.5960000000000001</v>
      </c>
      <c r="AS6" s="11">
        <v>2.573</v>
      </c>
      <c r="AT6" s="11">
        <v>0</v>
      </c>
      <c r="AU6" s="11">
        <v>8.6999999999999993</v>
      </c>
      <c r="AW6" s="9" t="s">
        <v>126</v>
      </c>
      <c r="AX6" s="11">
        <v>0.34</v>
      </c>
      <c r="AY6" s="11">
        <v>0.65500000000000003</v>
      </c>
      <c r="AZ6" s="11">
        <v>0</v>
      </c>
      <c r="BA6" s="11">
        <v>2.4</v>
      </c>
      <c r="BC6" s="9" t="s">
        <v>126</v>
      </c>
      <c r="BD6" s="11">
        <v>0.28000000000000003</v>
      </c>
      <c r="BE6" s="11">
        <v>0.61499999999999999</v>
      </c>
      <c r="BF6" s="11">
        <v>0</v>
      </c>
      <c r="BG6" s="11">
        <v>2.2000000000000002</v>
      </c>
    </row>
    <row r="7" spans="1:59" x14ac:dyDescent="0.25">
      <c r="A7" s="9" t="s">
        <v>103</v>
      </c>
      <c r="B7" s="11">
        <v>3.2933819430236699</v>
      </c>
      <c r="C7" s="11">
        <v>0.97653213022068663</v>
      </c>
      <c r="D7" s="11">
        <v>1.3793789677911199</v>
      </c>
      <c r="E7" s="11">
        <v>5.20738491825621</v>
      </c>
      <c r="G7" s="9" t="s">
        <v>103</v>
      </c>
      <c r="H7" s="11">
        <v>1.9950000000000001</v>
      </c>
      <c r="I7" s="11">
        <v>2.0489999999999999</v>
      </c>
      <c r="J7" s="11">
        <v>0</v>
      </c>
      <c r="K7" s="11">
        <v>6.7</v>
      </c>
      <c r="M7" s="9" t="s">
        <v>103</v>
      </c>
      <c r="N7" s="13">
        <v>1.841</v>
      </c>
      <c r="O7" s="13">
        <v>1.883</v>
      </c>
      <c r="P7" s="13">
        <v>0</v>
      </c>
      <c r="Q7" s="13">
        <v>6.1</v>
      </c>
      <c r="S7" s="9" t="s">
        <v>103</v>
      </c>
      <c r="T7" s="11">
        <v>11.651</v>
      </c>
      <c r="U7" s="11">
        <v>2.8929999999999998</v>
      </c>
      <c r="V7" s="11">
        <v>6.2</v>
      </c>
      <c r="W7" s="11">
        <v>17.7</v>
      </c>
      <c r="Y7" s="9" t="s">
        <v>103</v>
      </c>
      <c r="Z7" s="11">
        <v>18.273</v>
      </c>
      <c r="AA7" s="11">
        <v>4.1829999999999998</v>
      </c>
      <c r="AB7" s="11">
        <v>10.4</v>
      </c>
      <c r="AC7" s="11">
        <v>26.7</v>
      </c>
      <c r="AE7" s="9" t="s">
        <v>103</v>
      </c>
      <c r="AF7" s="8">
        <v>5.81</v>
      </c>
      <c r="AG7" s="8">
        <v>4.3090000000000002</v>
      </c>
      <c r="AH7" s="8">
        <v>0</v>
      </c>
      <c r="AI7" s="8">
        <v>14.6</v>
      </c>
      <c r="AK7" s="9" t="s">
        <v>103</v>
      </c>
      <c r="AL7" s="11">
        <v>0.93600000000000005</v>
      </c>
      <c r="AM7" s="11">
        <v>1.845</v>
      </c>
      <c r="AN7" s="11">
        <v>0</v>
      </c>
      <c r="AO7" s="11">
        <v>6.5</v>
      </c>
      <c r="AQ7" s="9" t="s">
        <v>103</v>
      </c>
      <c r="AR7" s="11">
        <v>0.2</v>
      </c>
      <c r="AS7" s="11">
        <v>0.56000000000000005</v>
      </c>
      <c r="AT7" s="11">
        <v>0</v>
      </c>
      <c r="AU7" s="11">
        <v>2.1</v>
      </c>
      <c r="AW7" s="9" t="s">
        <v>103</v>
      </c>
      <c r="AX7" s="11">
        <v>6.0999999999999999E-2</v>
      </c>
      <c r="AY7" s="11">
        <v>0.20799999999999999</v>
      </c>
      <c r="AZ7" s="11">
        <v>0</v>
      </c>
      <c r="BA7" s="11">
        <v>0.6</v>
      </c>
      <c r="BC7" s="9" t="s">
        <v>103</v>
      </c>
      <c r="BD7" s="11">
        <v>8.4000000000000005E-2</v>
      </c>
      <c r="BE7" s="11">
        <v>0.29799999999999999</v>
      </c>
      <c r="BF7" s="11">
        <v>0</v>
      </c>
      <c r="BG7" s="11">
        <v>0.8</v>
      </c>
    </row>
    <row r="8" spans="1:59" x14ac:dyDescent="0.25">
      <c r="A8" t="s">
        <v>11</v>
      </c>
      <c r="B8" s="11">
        <v>20.034899558322326</v>
      </c>
      <c r="C8" s="11">
        <v>0.59724309450748803</v>
      </c>
      <c r="D8" s="11">
        <v>18.864303093087649</v>
      </c>
      <c r="E8" s="11">
        <v>21.205496023557004</v>
      </c>
      <c r="G8" t="s">
        <v>11</v>
      </c>
      <c r="H8" s="11">
        <v>0.752</v>
      </c>
      <c r="I8" s="11">
        <v>0.97599999999999998</v>
      </c>
      <c r="J8" s="11">
        <v>0</v>
      </c>
      <c r="K8" s="11">
        <v>3.5</v>
      </c>
      <c r="M8" t="s">
        <v>11</v>
      </c>
      <c r="N8" s="13">
        <v>1.101</v>
      </c>
      <c r="O8" s="13">
        <v>1.1439999999999999</v>
      </c>
      <c r="P8" s="13">
        <v>0</v>
      </c>
      <c r="Q8" s="13">
        <v>4.1020000000000003</v>
      </c>
      <c r="S8" t="s">
        <v>11</v>
      </c>
      <c r="T8" s="11">
        <v>2.484</v>
      </c>
      <c r="U8" s="11">
        <v>1.597</v>
      </c>
      <c r="V8" s="11">
        <v>0.1</v>
      </c>
      <c r="W8" s="11">
        <v>6.2</v>
      </c>
      <c r="Y8" t="s">
        <v>11</v>
      </c>
      <c r="Z8" s="11">
        <v>14.722</v>
      </c>
      <c r="AA8" s="11">
        <v>3.05</v>
      </c>
      <c r="AB8" s="11">
        <v>9.1999999999999993</v>
      </c>
      <c r="AC8" s="11">
        <v>21.1</v>
      </c>
      <c r="AE8" t="s">
        <v>11</v>
      </c>
      <c r="AF8" s="8">
        <v>53.667999999999999</v>
      </c>
      <c r="AG8" s="8">
        <v>5.3819999999999997</v>
      </c>
      <c r="AH8" s="8">
        <v>43.7</v>
      </c>
      <c r="AI8" s="8">
        <v>64.8</v>
      </c>
      <c r="AK8" t="s">
        <v>11</v>
      </c>
      <c r="AL8" s="11">
        <v>82.960999999999999</v>
      </c>
      <c r="AM8" s="11">
        <v>4.258</v>
      </c>
      <c r="AN8" s="11">
        <v>74.3</v>
      </c>
      <c r="AO8" s="11">
        <v>90.9</v>
      </c>
      <c r="AQ8" t="s">
        <v>11</v>
      </c>
      <c r="AR8" s="11">
        <v>96.334000000000003</v>
      </c>
      <c r="AS8" s="11">
        <v>2.4780000000000002</v>
      </c>
      <c r="AT8" s="11">
        <v>90.4</v>
      </c>
      <c r="AU8" s="11">
        <v>99.7</v>
      </c>
      <c r="AW8" t="s">
        <v>11</v>
      </c>
      <c r="AX8" s="11">
        <v>98.183999999999997</v>
      </c>
      <c r="AY8" s="11">
        <v>1.0209999999999999</v>
      </c>
      <c r="AZ8" s="11">
        <v>95.7</v>
      </c>
      <c r="BA8" s="11">
        <v>99.6</v>
      </c>
      <c r="BC8" t="s">
        <v>11</v>
      </c>
      <c r="BD8" s="11">
        <v>96.665000000000006</v>
      </c>
      <c r="BE8" s="11">
        <v>1.448</v>
      </c>
      <c r="BF8" s="11">
        <v>93.3</v>
      </c>
      <c r="BG8" s="11">
        <v>98.9</v>
      </c>
    </row>
    <row r="9" spans="1:59" x14ac:dyDescent="0.25">
      <c r="A9" s="6" t="s">
        <v>103</v>
      </c>
      <c r="B9" s="11">
        <v>7.2960734214653504</v>
      </c>
      <c r="C9" s="11">
        <v>0.49128295561193203</v>
      </c>
      <c r="D9" s="11">
        <v>6.3331588284659697</v>
      </c>
      <c r="E9" s="11">
        <v>8.2589880144647392</v>
      </c>
      <c r="G9" s="6" t="s">
        <v>103</v>
      </c>
      <c r="H9" s="11">
        <v>0.124</v>
      </c>
      <c r="I9" s="11">
        <v>0.26600000000000001</v>
      </c>
      <c r="J9" s="11">
        <v>0</v>
      </c>
      <c r="K9" s="11">
        <v>0.9</v>
      </c>
      <c r="M9" s="6" t="s">
        <v>103</v>
      </c>
      <c r="N9" s="13">
        <v>0.40600000000000003</v>
      </c>
      <c r="O9" s="13">
        <v>0.73299999999999998</v>
      </c>
      <c r="P9" s="13">
        <v>0</v>
      </c>
      <c r="Q9" s="13">
        <v>2.6</v>
      </c>
      <c r="S9" s="6" t="s">
        <v>103</v>
      </c>
      <c r="T9" s="11">
        <v>0.72399999999999998</v>
      </c>
      <c r="U9" s="11">
        <v>1.0680000000000001</v>
      </c>
      <c r="V9" s="11">
        <v>0</v>
      </c>
      <c r="W9" s="11">
        <v>3.8</v>
      </c>
      <c r="Y9" s="6" t="s">
        <v>103</v>
      </c>
      <c r="Z9" s="11">
        <v>0.35599999999999998</v>
      </c>
      <c r="AA9" s="11">
        <v>0.748</v>
      </c>
      <c r="AB9" s="11">
        <v>0</v>
      </c>
      <c r="AC9" s="11">
        <v>2.7</v>
      </c>
      <c r="AE9" s="6" t="s">
        <v>103</v>
      </c>
      <c r="AF9" s="8">
        <v>4.601</v>
      </c>
      <c r="AG9" s="8">
        <v>2.6059999999999999</v>
      </c>
      <c r="AH9" s="8">
        <v>0.2</v>
      </c>
      <c r="AI9" s="8">
        <v>10.6</v>
      </c>
      <c r="AK9" s="6" t="s">
        <v>103</v>
      </c>
      <c r="AL9" s="11">
        <v>12.398</v>
      </c>
      <c r="AM9" s="11">
        <v>3.8849999999999998</v>
      </c>
      <c r="AN9" s="11">
        <v>5.3</v>
      </c>
      <c r="AO9" s="11">
        <v>20.3</v>
      </c>
      <c r="AQ9" s="6" t="s">
        <v>103</v>
      </c>
      <c r="AR9" s="11">
        <v>31.231999999999999</v>
      </c>
      <c r="AS9" s="11">
        <v>4.2069999999999999</v>
      </c>
      <c r="AT9" s="11">
        <v>23.2</v>
      </c>
      <c r="AU9" s="11">
        <v>39.700000000000003</v>
      </c>
      <c r="AW9" s="6" t="s">
        <v>103</v>
      </c>
      <c r="AX9" s="11">
        <v>37.841000000000001</v>
      </c>
      <c r="AY9" s="11">
        <v>3.698</v>
      </c>
      <c r="AZ9" s="11">
        <v>30.7</v>
      </c>
      <c r="BA9" s="11">
        <v>45.1</v>
      </c>
      <c r="BC9" s="6" t="s">
        <v>103</v>
      </c>
      <c r="BD9" s="11">
        <v>70.257999999999996</v>
      </c>
      <c r="BE9" s="11">
        <v>3.8340000000000001</v>
      </c>
      <c r="BF9" s="11">
        <v>62.5</v>
      </c>
      <c r="BG9" s="11">
        <v>77.400000000000006</v>
      </c>
    </row>
    <row r="10" spans="1:59" x14ac:dyDescent="0.25">
      <c r="A10" s="6" t="s">
        <v>38</v>
      </c>
      <c r="B10" s="11">
        <v>5.5785129352236407</v>
      </c>
      <c r="C10" s="11">
        <v>0.66418863451342969</v>
      </c>
      <c r="D10" s="11">
        <v>4.2767032115773187</v>
      </c>
      <c r="E10" s="11">
        <v>6.8803226588699626</v>
      </c>
      <c r="G10" s="6" t="s">
        <v>38</v>
      </c>
      <c r="H10" s="11">
        <v>0.49099999999999999</v>
      </c>
      <c r="I10" s="11">
        <v>0.89400000000000002</v>
      </c>
      <c r="J10" s="11">
        <v>0</v>
      </c>
      <c r="K10" s="11">
        <v>3.2</v>
      </c>
      <c r="M10" s="6" t="s">
        <v>38</v>
      </c>
      <c r="N10" s="13">
        <v>0.51</v>
      </c>
      <c r="O10" s="13">
        <v>0.84099999999999997</v>
      </c>
      <c r="P10" s="13">
        <v>0</v>
      </c>
      <c r="Q10" s="13">
        <v>3</v>
      </c>
      <c r="S10" s="6" t="s">
        <v>38</v>
      </c>
      <c r="T10" s="11">
        <v>0.873</v>
      </c>
      <c r="U10" s="11">
        <v>1.256</v>
      </c>
      <c r="V10" s="11">
        <v>0</v>
      </c>
      <c r="W10" s="11">
        <v>4.3</v>
      </c>
      <c r="Y10" s="6" t="s">
        <v>38</v>
      </c>
      <c r="Z10" s="11">
        <v>7.31</v>
      </c>
      <c r="AA10" s="11">
        <v>3.4929999999999999</v>
      </c>
      <c r="AB10" s="11">
        <v>0.2</v>
      </c>
      <c r="AC10" s="11">
        <v>14.401999999999999</v>
      </c>
      <c r="AE10" s="6" t="s">
        <v>38</v>
      </c>
      <c r="AF10" s="8">
        <v>32.753999999999998</v>
      </c>
      <c r="AG10" s="8">
        <v>5.806</v>
      </c>
      <c r="AH10" s="8">
        <v>22</v>
      </c>
      <c r="AI10" s="8">
        <v>44.6</v>
      </c>
      <c r="AK10" s="6" t="s">
        <v>38</v>
      </c>
      <c r="AL10" s="11">
        <v>30.003</v>
      </c>
      <c r="AM10" s="11">
        <v>5.4630000000000001</v>
      </c>
      <c r="AN10" s="11">
        <v>19.5</v>
      </c>
      <c r="AO10" s="11">
        <v>40.799999999999997</v>
      </c>
      <c r="AQ10" s="6" t="s">
        <v>38</v>
      </c>
      <c r="AR10" s="11">
        <v>25.213000000000001</v>
      </c>
      <c r="AS10" s="11">
        <v>5.0830000000000002</v>
      </c>
      <c r="AT10" s="11">
        <v>15.7</v>
      </c>
      <c r="AU10" s="11">
        <v>35.502000000000002</v>
      </c>
      <c r="AW10" s="6" t="s">
        <v>38</v>
      </c>
      <c r="AX10" s="11">
        <v>21.513000000000002</v>
      </c>
      <c r="AY10" s="11">
        <v>4.4779999999999998</v>
      </c>
      <c r="AZ10" s="11">
        <v>12.7</v>
      </c>
      <c r="BA10" s="11">
        <v>30.4</v>
      </c>
      <c r="BC10" s="6" t="s">
        <v>38</v>
      </c>
      <c r="BD10" s="11">
        <v>10.879</v>
      </c>
      <c r="BE10" s="11">
        <v>3.726</v>
      </c>
      <c r="BF10" s="11">
        <v>4.5</v>
      </c>
      <c r="BG10" s="11">
        <v>19</v>
      </c>
    </row>
    <row r="11" spans="1:59" x14ac:dyDescent="0.25">
      <c r="A11" s="6" t="s">
        <v>104</v>
      </c>
      <c r="B11" s="11">
        <v>4.1400262881433898</v>
      </c>
      <c r="C11" s="11">
        <v>0.51741146588569997</v>
      </c>
      <c r="D11" s="11">
        <v>3.125899815007418</v>
      </c>
      <c r="E11" s="11">
        <v>5.1541527612793612</v>
      </c>
      <c r="G11" s="6" t="s">
        <v>104</v>
      </c>
      <c r="H11" s="11">
        <v>0.13200000000000001</v>
      </c>
      <c r="I11" s="11">
        <v>0.29299999999999998</v>
      </c>
      <c r="J11" s="11">
        <v>0</v>
      </c>
      <c r="K11" s="11">
        <v>1</v>
      </c>
      <c r="M11" s="6" t="s">
        <v>104</v>
      </c>
      <c r="N11" s="13">
        <v>0.18099999999999999</v>
      </c>
      <c r="O11" s="13">
        <v>0.32600000000000001</v>
      </c>
      <c r="P11" s="13">
        <v>0</v>
      </c>
      <c r="Q11" s="13">
        <v>1.1020000000000001</v>
      </c>
      <c r="S11" s="6" t="s">
        <v>104</v>
      </c>
      <c r="T11" s="11">
        <v>0.86399999999999999</v>
      </c>
      <c r="U11" s="11">
        <v>1.024</v>
      </c>
      <c r="V11" s="11">
        <v>0</v>
      </c>
      <c r="W11" s="11">
        <v>3.5</v>
      </c>
      <c r="Y11" s="6" t="s">
        <v>104</v>
      </c>
      <c r="Z11" s="11">
        <v>6.617</v>
      </c>
      <c r="AA11" s="11">
        <v>2.7519999999999998</v>
      </c>
      <c r="AB11" s="11">
        <v>1.3</v>
      </c>
      <c r="AC11" s="11">
        <v>12.2</v>
      </c>
      <c r="AE11" s="6" t="s">
        <v>104</v>
      </c>
      <c r="AF11" s="8">
        <v>8.8379999999999992</v>
      </c>
      <c r="AG11" s="8">
        <v>3.9529999999999998</v>
      </c>
      <c r="AH11" s="8">
        <v>1.8</v>
      </c>
      <c r="AI11" s="8">
        <v>17.3</v>
      </c>
      <c r="AK11" s="6" t="s">
        <v>104</v>
      </c>
      <c r="AL11" s="11">
        <v>21.506</v>
      </c>
      <c r="AM11" s="11">
        <v>5.1550000000000002</v>
      </c>
      <c r="AN11" s="11">
        <v>12.4</v>
      </c>
      <c r="AO11" s="11">
        <v>32.4</v>
      </c>
      <c r="AQ11" s="6" t="s">
        <v>104</v>
      </c>
      <c r="AR11" s="11">
        <v>23.568000000000001</v>
      </c>
      <c r="AS11" s="11">
        <v>5.08</v>
      </c>
      <c r="AT11" s="11">
        <v>13.8</v>
      </c>
      <c r="AU11" s="11">
        <v>33.402000000000001</v>
      </c>
      <c r="AW11" s="6" t="s">
        <v>104</v>
      </c>
      <c r="AX11" s="11">
        <v>20.763999999999999</v>
      </c>
      <c r="AY11" s="11">
        <v>4.4370000000000003</v>
      </c>
      <c r="AZ11" s="11">
        <v>12.5</v>
      </c>
      <c r="BA11" s="11">
        <v>29.9</v>
      </c>
      <c r="BC11" s="6" t="s">
        <v>104</v>
      </c>
      <c r="BD11" s="11">
        <v>7.181</v>
      </c>
      <c r="BE11" s="11">
        <v>3.4740000000000002</v>
      </c>
      <c r="BF11" s="11">
        <v>0.1</v>
      </c>
      <c r="BG11" s="11">
        <v>14.002000000000001</v>
      </c>
    </row>
    <row r="12" spans="1:59" x14ac:dyDescent="0.25">
      <c r="A12" s="9" t="s">
        <v>14</v>
      </c>
      <c r="B12" s="11">
        <v>0.91158683925568496</v>
      </c>
      <c r="C12" s="11">
        <v>0.38566060879326525</v>
      </c>
      <c r="D12" s="11">
        <v>0.15569204602088499</v>
      </c>
      <c r="E12" s="11">
        <v>1.66748163249048</v>
      </c>
      <c r="G12" s="9" t="s">
        <v>14</v>
      </c>
      <c r="H12" s="11">
        <v>2.3E-2</v>
      </c>
      <c r="I12" s="11">
        <v>0.10199999999999999</v>
      </c>
      <c r="J12" s="11">
        <v>0</v>
      </c>
      <c r="K12" s="11">
        <v>0.2</v>
      </c>
      <c r="M12" s="9" t="s">
        <v>14</v>
      </c>
      <c r="N12" s="13">
        <v>0.11600000000000001</v>
      </c>
      <c r="O12" s="13">
        <v>0.27800000000000002</v>
      </c>
      <c r="P12" s="13">
        <v>0</v>
      </c>
      <c r="Q12" s="13">
        <v>0.9</v>
      </c>
      <c r="S12" s="9" t="s">
        <v>14</v>
      </c>
      <c r="T12" s="11">
        <v>0.22</v>
      </c>
      <c r="U12" s="11">
        <v>0.59099999999999997</v>
      </c>
      <c r="V12" s="11">
        <v>0</v>
      </c>
      <c r="W12" s="11">
        <v>2.1</v>
      </c>
      <c r="Y12" s="9" t="s">
        <v>14</v>
      </c>
      <c r="Z12" s="11">
        <v>6.1079999999999997</v>
      </c>
      <c r="AA12" s="11">
        <v>2.855</v>
      </c>
      <c r="AB12" s="11">
        <v>0</v>
      </c>
      <c r="AC12" s="11">
        <v>11.8</v>
      </c>
      <c r="AE12" s="9" t="s">
        <v>14</v>
      </c>
      <c r="AF12" s="8">
        <v>2.5590000000000002</v>
      </c>
      <c r="AG12" s="8">
        <v>3.456</v>
      </c>
      <c r="AH12" s="8">
        <v>0</v>
      </c>
      <c r="AI12" s="8">
        <v>10.802</v>
      </c>
      <c r="AK12" s="9" t="s">
        <v>14</v>
      </c>
      <c r="AL12" s="11">
        <v>1.998</v>
      </c>
      <c r="AM12" s="11">
        <v>3.4220000000000002</v>
      </c>
      <c r="AN12" s="11">
        <v>0</v>
      </c>
      <c r="AO12" s="11">
        <v>11.3</v>
      </c>
      <c r="AQ12" s="9" t="s">
        <v>14</v>
      </c>
      <c r="AR12" s="11">
        <v>6.5289999999999999</v>
      </c>
      <c r="AS12" s="11">
        <v>4.3890000000000002</v>
      </c>
      <c r="AT12" s="11">
        <v>0</v>
      </c>
      <c r="AU12" s="11">
        <v>15</v>
      </c>
      <c r="AW12" s="9" t="s">
        <v>14</v>
      </c>
      <c r="AX12" s="11">
        <v>0.54800000000000004</v>
      </c>
      <c r="AY12" s="11">
        <v>1.714</v>
      </c>
      <c r="AZ12" s="11">
        <v>0</v>
      </c>
      <c r="BA12" s="11">
        <v>6.7</v>
      </c>
      <c r="BC12" s="9" t="s">
        <v>14</v>
      </c>
      <c r="BD12" s="11">
        <v>0.104</v>
      </c>
      <c r="BE12" s="11">
        <v>0.47699999999999998</v>
      </c>
      <c r="BF12" s="11">
        <v>0</v>
      </c>
      <c r="BG12" s="11">
        <v>1.4</v>
      </c>
    </row>
    <row r="13" spans="1:59" x14ac:dyDescent="0.25">
      <c r="A13" s="9" t="s">
        <v>15</v>
      </c>
      <c r="B13" s="11">
        <v>3.2350648465135601</v>
      </c>
      <c r="C13" s="11">
        <v>0.47862951272776644</v>
      </c>
      <c r="D13" s="11">
        <v>2.2969510015671366</v>
      </c>
      <c r="E13" s="11">
        <v>4.1731786914599809</v>
      </c>
      <c r="G13" s="9" t="s">
        <v>15</v>
      </c>
      <c r="H13" s="11">
        <v>0.11600000000000001</v>
      </c>
      <c r="I13" s="11">
        <v>0.27600000000000002</v>
      </c>
      <c r="J13" s="11">
        <v>0</v>
      </c>
      <c r="K13" s="11">
        <v>1</v>
      </c>
      <c r="M13" s="9" t="s">
        <v>15</v>
      </c>
      <c r="N13" s="13">
        <v>7.2999999999999995E-2</v>
      </c>
      <c r="O13" s="13">
        <v>0.17299999999999999</v>
      </c>
      <c r="P13" s="13">
        <v>0</v>
      </c>
      <c r="Q13" s="13">
        <v>0.6</v>
      </c>
      <c r="S13" s="9" t="s">
        <v>15</v>
      </c>
      <c r="T13" s="11">
        <v>0.65200000000000002</v>
      </c>
      <c r="U13" s="11">
        <v>0.93799999999999994</v>
      </c>
      <c r="V13" s="11">
        <v>0</v>
      </c>
      <c r="W13" s="11">
        <v>3.2</v>
      </c>
      <c r="Y13" s="9" t="s">
        <v>15</v>
      </c>
      <c r="Z13" s="11">
        <v>0.51700000000000002</v>
      </c>
      <c r="AA13" s="11">
        <v>1.175</v>
      </c>
      <c r="AB13" s="11">
        <v>0</v>
      </c>
      <c r="AC13" s="11">
        <v>4.2</v>
      </c>
      <c r="AE13" s="9" t="s">
        <v>15</v>
      </c>
      <c r="AF13" s="8">
        <v>6.2830000000000004</v>
      </c>
      <c r="AG13" s="8">
        <v>3.927</v>
      </c>
      <c r="AH13" s="8">
        <v>0</v>
      </c>
      <c r="AI13" s="8">
        <v>14.6</v>
      </c>
      <c r="AK13" s="9" t="s">
        <v>15</v>
      </c>
      <c r="AL13" s="11">
        <v>19.515999999999998</v>
      </c>
      <c r="AM13" s="11">
        <v>4.8470000000000004</v>
      </c>
      <c r="AN13" s="11">
        <v>10.7</v>
      </c>
      <c r="AO13" s="11">
        <v>29.7</v>
      </c>
      <c r="AQ13" s="9" t="s">
        <v>15</v>
      </c>
      <c r="AR13" s="11">
        <v>17.039000000000001</v>
      </c>
      <c r="AS13" s="11">
        <v>4.7990000000000004</v>
      </c>
      <c r="AT13" s="11">
        <v>8.1</v>
      </c>
      <c r="AU13" s="11">
        <v>26.9</v>
      </c>
      <c r="AW13" s="9" t="s">
        <v>15</v>
      </c>
      <c r="AX13" s="11">
        <v>20.219000000000001</v>
      </c>
      <c r="AY13" s="11">
        <v>4.2990000000000004</v>
      </c>
      <c r="AZ13" s="11">
        <v>12.1</v>
      </c>
      <c r="BA13" s="11">
        <v>29</v>
      </c>
      <c r="BC13" s="9" t="s">
        <v>15</v>
      </c>
      <c r="BD13" s="11">
        <v>7.0819999999999999</v>
      </c>
      <c r="BE13" s="11">
        <v>3.5019999999999998</v>
      </c>
      <c r="BF13" s="11">
        <v>0</v>
      </c>
      <c r="BG13" s="11">
        <v>14</v>
      </c>
    </row>
    <row r="14" spans="1:59" x14ac:dyDescent="0.25">
      <c r="A14" s="6" t="s">
        <v>105</v>
      </c>
      <c r="B14" s="11">
        <v>3.0501298283453924</v>
      </c>
      <c r="C14" s="11">
        <v>0.25541574674860484</v>
      </c>
      <c r="D14" s="11">
        <v>2.549514964718127</v>
      </c>
      <c r="E14" s="11">
        <v>3.5507446919726577</v>
      </c>
      <c r="G14" s="6" t="s">
        <v>105</v>
      </c>
      <c r="H14" s="11">
        <v>5.6000000000000001E-2</v>
      </c>
      <c r="I14" s="11">
        <v>0.14799999999999999</v>
      </c>
      <c r="J14" s="11">
        <v>0</v>
      </c>
      <c r="K14" s="11">
        <v>0.4</v>
      </c>
      <c r="M14" s="6" t="s">
        <v>105</v>
      </c>
      <c r="N14" s="13">
        <v>4.5999999999999999E-2</v>
      </c>
      <c r="O14" s="13">
        <v>0.11600000000000001</v>
      </c>
      <c r="P14" s="13">
        <v>0</v>
      </c>
      <c r="Q14" s="13">
        <v>0.3</v>
      </c>
      <c r="S14" s="6" t="s">
        <v>105</v>
      </c>
      <c r="T14" s="11">
        <v>0.05</v>
      </c>
      <c r="U14" s="11">
        <v>0.129</v>
      </c>
      <c r="V14" s="11">
        <v>0</v>
      </c>
      <c r="W14" s="11">
        <v>0.4</v>
      </c>
      <c r="Y14" s="6" t="s">
        <v>105</v>
      </c>
      <c r="Z14" s="11">
        <v>0.439</v>
      </c>
      <c r="AA14" s="11">
        <v>0.56499999999999995</v>
      </c>
      <c r="AB14" s="11">
        <v>0</v>
      </c>
      <c r="AC14" s="11">
        <v>2</v>
      </c>
      <c r="AE14" s="6" t="s">
        <v>105</v>
      </c>
      <c r="AF14" s="8">
        <v>7.4619999999999997</v>
      </c>
      <c r="AG14" s="8">
        <v>1.756</v>
      </c>
      <c r="AH14" s="8">
        <v>4.3</v>
      </c>
      <c r="AI14" s="8">
        <v>11.2</v>
      </c>
      <c r="AK14" s="6" t="s">
        <v>105</v>
      </c>
      <c r="AL14" s="11">
        <v>19.045000000000002</v>
      </c>
      <c r="AM14" s="11">
        <v>3.097</v>
      </c>
      <c r="AN14" s="11">
        <v>13.3</v>
      </c>
      <c r="AO14" s="11">
        <v>25.4</v>
      </c>
      <c r="AQ14" s="6" t="s">
        <v>105</v>
      </c>
      <c r="AR14" s="11">
        <v>16.312999999999999</v>
      </c>
      <c r="AS14" s="11">
        <v>2.4700000000000002</v>
      </c>
      <c r="AT14" s="11">
        <v>11.7</v>
      </c>
      <c r="AU14" s="11">
        <v>21.5</v>
      </c>
      <c r="AW14" s="6" t="s">
        <v>105</v>
      </c>
      <c r="AX14" s="11">
        <v>18.042999999999999</v>
      </c>
      <c r="AY14" s="11">
        <v>2.512</v>
      </c>
      <c r="AZ14" s="11">
        <v>13.4</v>
      </c>
      <c r="BA14" s="11">
        <v>23.2</v>
      </c>
      <c r="BC14" s="6" t="s">
        <v>105</v>
      </c>
      <c r="BD14" s="11">
        <v>8.3230000000000004</v>
      </c>
      <c r="BE14" s="11">
        <v>2.1890000000000001</v>
      </c>
      <c r="BF14" s="11">
        <v>4.5</v>
      </c>
      <c r="BG14" s="11">
        <v>13.1</v>
      </c>
    </row>
    <row r="15" spans="1:59" x14ac:dyDescent="0.25">
      <c r="A15" s="9" t="s">
        <v>17</v>
      </c>
      <c r="B15" s="11">
        <v>2.9307913110403572</v>
      </c>
      <c r="C15" s="11">
        <v>0.24393665222097974</v>
      </c>
      <c r="D15" s="11">
        <v>2.4526754726872371</v>
      </c>
      <c r="E15" s="11">
        <v>3.4089071493934773</v>
      </c>
      <c r="G15" s="9" t="s">
        <v>17</v>
      </c>
      <c r="H15" s="11">
        <v>3.6999999999999998E-2</v>
      </c>
      <c r="I15" s="11">
        <v>0.112</v>
      </c>
      <c r="J15" s="11">
        <v>0</v>
      </c>
      <c r="K15" s="11">
        <v>0.3</v>
      </c>
      <c r="M15" s="9" t="s">
        <v>17</v>
      </c>
      <c r="N15" s="13">
        <v>3.1E-2</v>
      </c>
      <c r="O15" s="13">
        <v>9.1999999999999998E-2</v>
      </c>
      <c r="P15" s="13">
        <v>0</v>
      </c>
      <c r="Q15" s="13">
        <v>0.2</v>
      </c>
      <c r="S15" s="9" t="s">
        <v>17</v>
      </c>
      <c r="T15" s="11">
        <v>3.2000000000000001E-2</v>
      </c>
      <c r="U15" s="11">
        <v>9.4E-2</v>
      </c>
      <c r="V15" s="11">
        <v>0</v>
      </c>
      <c r="W15" s="11">
        <v>0.2</v>
      </c>
      <c r="Y15" s="9" t="s">
        <v>17</v>
      </c>
      <c r="Z15" s="11">
        <v>0.372</v>
      </c>
      <c r="AA15" s="11">
        <v>0.49199999999999999</v>
      </c>
      <c r="AB15" s="11">
        <v>0</v>
      </c>
      <c r="AC15" s="11">
        <v>1.7</v>
      </c>
      <c r="AE15" s="9" t="s">
        <v>17</v>
      </c>
      <c r="AF15" s="8">
        <v>7.4489999999999998</v>
      </c>
      <c r="AG15" s="8">
        <v>1.7529999999999999</v>
      </c>
      <c r="AH15" s="8">
        <v>4.3</v>
      </c>
      <c r="AI15" s="8">
        <v>11.2</v>
      </c>
      <c r="AK15" s="9" t="s">
        <v>17</v>
      </c>
      <c r="AL15" s="11">
        <v>16.844999999999999</v>
      </c>
      <c r="AM15" s="11">
        <v>2.8050000000000002</v>
      </c>
      <c r="AN15" s="11">
        <v>11.7</v>
      </c>
      <c r="AO15" s="11">
        <v>22.6</v>
      </c>
      <c r="AQ15" s="9" t="s">
        <v>17</v>
      </c>
      <c r="AR15" s="11">
        <v>15.87</v>
      </c>
      <c r="AS15" s="11">
        <v>2.3980000000000001</v>
      </c>
      <c r="AT15" s="11">
        <v>11.4</v>
      </c>
      <c r="AU15" s="11">
        <v>20.8</v>
      </c>
      <c r="AW15" s="9" t="s">
        <v>17</v>
      </c>
      <c r="AX15" s="11">
        <v>17.8</v>
      </c>
      <c r="AY15" s="11">
        <v>2.4510000000000001</v>
      </c>
      <c r="AZ15" s="11">
        <v>13.3</v>
      </c>
      <c r="BA15" s="11">
        <v>22.8</v>
      </c>
      <c r="BC15" s="9" t="s">
        <v>17</v>
      </c>
      <c r="BD15" s="11">
        <v>7.8410000000000002</v>
      </c>
      <c r="BE15" s="11">
        <v>2.0379999999999998</v>
      </c>
      <c r="BF15" s="11">
        <v>4.3</v>
      </c>
      <c r="BG15" s="11">
        <v>12.202</v>
      </c>
    </row>
    <row r="16" spans="1:59" x14ac:dyDescent="0.25">
      <c r="A16" s="9" t="s">
        <v>18</v>
      </c>
      <c r="B16" s="11">
        <v>0.12276133378615545</v>
      </c>
      <c r="C16" s="11">
        <v>7.8043076942089784E-2</v>
      </c>
      <c r="D16" s="11">
        <v>0</v>
      </c>
      <c r="E16" s="11">
        <v>0.27572576459265141</v>
      </c>
      <c r="G16" s="9" t="s">
        <v>18</v>
      </c>
      <c r="H16" s="11">
        <v>2.3E-2</v>
      </c>
      <c r="I16" s="11">
        <v>0.10100000000000001</v>
      </c>
      <c r="J16" s="11">
        <v>0</v>
      </c>
      <c r="K16" s="11">
        <v>0.2</v>
      </c>
      <c r="M16" s="9" t="s">
        <v>18</v>
      </c>
      <c r="N16" s="13">
        <v>1.9E-2</v>
      </c>
      <c r="O16" s="13">
        <v>7.4999999999999997E-2</v>
      </c>
      <c r="P16" s="13">
        <v>0</v>
      </c>
      <c r="Q16" s="13">
        <v>0.1</v>
      </c>
      <c r="S16" s="9" t="s">
        <v>18</v>
      </c>
      <c r="T16" s="11">
        <v>2.1999999999999999E-2</v>
      </c>
      <c r="U16" s="11">
        <v>9.2999999999999999E-2</v>
      </c>
      <c r="V16" s="11">
        <v>0</v>
      </c>
      <c r="W16" s="11">
        <v>0.2</v>
      </c>
      <c r="Y16" s="9" t="s">
        <v>18</v>
      </c>
      <c r="Z16" s="11">
        <v>7.2999999999999995E-2</v>
      </c>
      <c r="AA16" s="11">
        <v>0.28199999999999997</v>
      </c>
      <c r="AB16" s="11">
        <v>0</v>
      </c>
      <c r="AC16" s="11">
        <v>0.9</v>
      </c>
      <c r="AE16" s="9" t="s">
        <v>18</v>
      </c>
      <c r="AF16" s="8">
        <v>2.1999999999999999E-2</v>
      </c>
      <c r="AG16" s="8">
        <v>0.09</v>
      </c>
      <c r="AH16" s="8">
        <v>0</v>
      </c>
      <c r="AI16" s="8">
        <v>0.2</v>
      </c>
      <c r="AK16" s="9" t="s">
        <v>18</v>
      </c>
      <c r="AL16" s="11">
        <v>2.1970000000000001</v>
      </c>
      <c r="AM16" s="11">
        <v>1.4350000000000001</v>
      </c>
      <c r="AN16" s="11">
        <v>0.1</v>
      </c>
      <c r="AO16" s="11">
        <v>5.6</v>
      </c>
      <c r="AQ16" s="9" t="s">
        <v>18</v>
      </c>
      <c r="AR16" s="11">
        <v>0.443</v>
      </c>
      <c r="AS16" s="11">
        <v>0.61299999999999999</v>
      </c>
      <c r="AT16" s="11">
        <v>0</v>
      </c>
      <c r="AU16" s="11">
        <v>2.1</v>
      </c>
      <c r="AW16" s="9" t="s">
        <v>18</v>
      </c>
      <c r="AX16" s="11">
        <v>0.24299999999999999</v>
      </c>
      <c r="AY16" s="11">
        <v>0.55300000000000005</v>
      </c>
      <c r="AZ16" s="11">
        <v>0</v>
      </c>
      <c r="BA16" s="11">
        <v>2</v>
      </c>
      <c r="BC16" s="9" t="s">
        <v>18</v>
      </c>
      <c r="BD16" s="11">
        <v>0.48099999999999998</v>
      </c>
      <c r="BE16" s="11">
        <v>0.76100000000000001</v>
      </c>
      <c r="BF16" s="11">
        <v>0</v>
      </c>
      <c r="BG16" s="11">
        <v>2.7</v>
      </c>
    </row>
    <row r="17" spans="1:59" x14ac:dyDescent="0.25">
      <c r="A17" t="s">
        <v>41</v>
      </c>
      <c r="B17" s="11">
        <v>12.86269808232576</v>
      </c>
      <c r="C17" s="11">
        <v>0.75931134362426689</v>
      </c>
      <c r="D17" s="11">
        <v>11.374447848822197</v>
      </c>
      <c r="E17" s="11">
        <v>14.350948315829324</v>
      </c>
      <c r="G17" t="s">
        <v>41</v>
      </c>
      <c r="H17" s="11">
        <v>0.59699999999999998</v>
      </c>
      <c r="I17" s="11">
        <v>0.93300000000000005</v>
      </c>
      <c r="J17" s="11">
        <v>0</v>
      </c>
      <c r="K17" s="11">
        <v>3.3</v>
      </c>
      <c r="M17" t="s">
        <v>41</v>
      </c>
      <c r="N17" s="13">
        <v>0.90200000000000002</v>
      </c>
      <c r="O17" s="13">
        <v>1.1200000000000001</v>
      </c>
      <c r="P17" s="13">
        <v>0</v>
      </c>
      <c r="Q17" s="13">
        <v>3.9</v>
      </c>
      <c r="S17" t="s">
        <v>41</v>
      </c>
      <c r="T17" s="11">
        <v>1.5880000000000001</v>
      </c>
      <c r="U17" s="11">
        <v>1.5880000000000001</v>
      </c>
      <c r="V17" s="11">
        <v>0</v>
      </c>
      <c r="W17" s="11">
        <v>5.5</v>
      </c>
      <c r="Y17" t="s">
        <v>41</v>
      </c>
      <c r="Z17" s="11">
        <v>7.6559999999999997</v>
      </c>
      <c r="AA17" s="11">
        <v>3.5209999999999999</v>
      </c>
      <c r="AB17" s="11">
        <v>0.69799999999999995</v>
      </c>
      <c r="AC17" s="11">
        <v>14.9</v>
      </c>
      <c r="AE17" t="s">
        <v>41</v>
      </c>
      <c r="AF17" s="8">
        <v>37.348999999999997</v>
      </c>
      <c r="AG17" s="8">
        <v>6.3140000000000001</v>
      </c>
      <c r="AH17" s="8">
        <v>25.7</v>
      </c>
      <c r="AI17" s="8">
        <v>50.3</v>
      </c>
      <c r="AK17" t="s">
        <v>41</v>
      </c>
      <c r="AL17" s="11">
        <v>42.393000000000001</v>
      </c>
      <c r="AM17" s="11">
        <v>6.1840000000000002</v>
      </c>
      <c r="AN17" s="11">
        <v>30.3</v>
      </c>
      <c r="AO17" s="11">
        <v>54.3</v>
      </c>
      <c r="AQ17" t="s">
        <v>41</v>
      </c>
      <c r="AR17" s="11">
        <v>56.436999999999998</v>
      </c>
      <c r="AS17" s="11">
        <v>5.7359999999999998</v>
      </c>
      <c r="AT17" s="11">
        <v>45.3</v>
      </c>
      <c r="AU17" s="11">
        <v>67.599999999999994</v>
      </c>
      <c r="AW17" t="s">
        <v>41</v>
      </c>
      <c r="AX17" s="11">
        <v>59.363</v>
      </c>
      <c r="AY17" s="11">
        <v>4.7030000000000003</v>
      </c>
      <c r="AZ17" s="11">
        <v>49.8</v>
      </c>
      <c r="BA17" s="11">
        <v>68.3</v>
      </c>
      <c r="BC17" t="s">
        <v>41</v>
      </c>
      <c r="BD17" s="11">
        <v>81.144000000000005</v>
      </c>
      <c r="BE17" s="11">
        <v>3.9980000000000002</v>
      </c>
      <c r="BF17" s="11">
        <v>73.2</v>
      </c>
      <c r="BG17" s="11">
        <v>89</v>
      </c>
    </row>
    <row r="18" spans="1:59" x14ac:dyDescent="0.25">
      <c r="A18" t="s">
        <v>106</v>
      </c>
      <c r="B18" s="11">
        <v>6.2750091024288901</v>
      </c>
      <c r="C18" s="11">
        <v>0.50980184917063742</v>
      </c>
      <c r="D18" s="11">
        <v>5.2757974780544412</v>
      </c>
      <c r="E18" s="11">
        <v>7.274220726803339</v>
      </c>
      <c r="G18" t="s">
        <v>106</v>
      </c>
      <c r="H18" s="11">
        <v>0.158</v>
      </c>
      <c r="I18" s="11">
        <v>0.309</v>
      </c>
      <c r="J18" s="11">
        <v>0</v>
      </c>
      <c r="K18" s="11">
        <v>1.1000000000000001</v>
      </c>
      <c r="M18" t="s">
        <v>106</v>
      </c>
      <c r="N18" s="13">
        <v>0.105</v>
      </c>
      <c r="O18" s="13">
        <v>0.20399999999999999</v>
      </c>
      <c r="P18" s="13">
        <v>0</v>
      </c>
      <c r="Q18" s="13">
        <v>0.7</v>
      </c>
      <c r="S18" t="s">
        <v>106</v>
      </c>
      <c r="T18" s="11">
        <v>0.68799999999999994</v>
      </c>
      <c r="U18" s="11">
        <v>0.94599999999999995</v>
      </c>
      <c r="V18" s="11">
        <v>0</v>
      </c>
      <c r="W18" s="11">
        <v>3.2</v>
      </c>
      <c r="Y18" t="s">
        <v>106</v>
      </c>
      <c r="Z18" s="11">
        <v>0.94499999999999995</v>
      </c>
      <c r="AA18" s="11">
        <v>1.2849999999999999</v>
      </c>
      <c r="AB18" s="11">
        <v>0</v>
      </c>
      <c r="AC18" s="11">
        <v>4.7</v>
      </c>
      <c r="AE18" t="s">
        <v>106</v>
      </c>
      <c r="AF18" s="8">
        <v>13.749000000000001</v>
      </c>
      <c r="AG18" s="8">
        <v>4.2629999999999999</v>
      </c>
      <c r="AH18" s="8">
        <v>6.3</v>
      </c>
      <c r="AI18" s="8">
        <v>22.5</v>
      </c>
      <c r="AK18" t="s">
        <v>106</v>
      </c>
      <c r="AL18" s="11">
        <v>38.561</v>
      </c>
      <c r="AM18" s="11">
        <v>5.2720000000000002</v>
      </c>
      <c r="AN18" s="11">
        <v>28.6</v>
      </c>
      <c r="AO18" s="11">
        <v>49.3</v>
      </c>
      <c r="AQ18" t="s">
        <v>106</v>
      </c>
      <c r="AR18" s="11">
        <v>33.353000000000002</v>
      </c>
      <c r="AS18" s="11">
        <v>5.0810000000000004</v>
      </c>
      <c r="AT18" s="11">
        <v>23.6</v>
      </c>
      <c r="AU18" s="11">
        <v>43.4</v>
      </c>
      <c r="AW18" t="s">
        <v>106</v>
      </c>
      <c r="AX18" s="11">
        <v>38.268000000000001</v>
      </c>
      <c r="AY18" s="11">
        <v>4.5010000000000003</v>
      </c>
      <c r="AZ18" s="11">
        <v>29.597999999999999</v>
      </c>
      <c r="BA18" s="11">
        <v>47.3</v>
      </c>
      <c r="BC18" t="s">
        <v>106</v>
      </c>
      <c r="BD18" s="11">
        <v>15.413</v>
      </c>
      <c r="BE18" s="11">
        <v>3.9</v>
      </c>
      <c r="BF18" s="11">
        <v>7.7</v>
      </c>
      <c r="BG18" s="11">
        <v>23.1</v>
      </c>
    </row>
    <row r="19" spans="1:59" x14ac:dyDescent="0.25">
      <c r="A19" t="s">
        <v>22</v>
      </c>
      <c r="B19" s="11">
        <v>12.748252845866615</v>
      </c>
      <c r="C19" s="11">
        <v>0.61751745612091824</v>
      </c>
      <c r="D19" s="11">
        <v>11.537918631869616</v>
      </c>
      <c r="E19" s="11">
        <v>13.958587059863614</v>
      </c>
      <c r="G19" t="s">
        <v>22</v>
      </c>
      <c r="H19" s="11">
        <v>0.64700000000000002</v>
      </c>
      <c r="I19" s="11">
        <v>0.94</v>
      </c>
      <c r="J19" s="11">
        <v>0</v>
      </c>
      <c r="K19" s="11">
        <v>3.4</v>
      </c>
      <c r="M19" t="s">
        <v>22</v>
      </c>
      <c r="N19" s="13">
        <v>0.70599999999999996</v>
      </c>
      <c r="O19" s="13">
        <v>0.86599999999999999</v>
      </c>
      <c r="P19" s="13">
        <v>0</v>
      </c>
      <c r="Q19" s="13">
        <v>3.2</v>
      </c>
      <c r="S19" t="s">
        <v>22</v>
      </c>
      <c r="T19" s="11">
        <v>1.7629999999999999</v>
      </c>
      <c r="U19" s="11">
        <v>1.355</v>
      </c>
      <c r="V19" s="11">
        <v>0</v>
      </c>
      <c r="W19" s="11">
        <v>5.0999999999999996</v>
      </c>
      <c r="Y19" t="s">
        <v>22</v>
      </c>
      <c r="Z19" s="11">
        <v>14.375</v>
      </c>
      <c r="AA19" s="11">
        <v>2.992</v>
      </c>
      <c r="AB19" s="11">
        <v>8.8979999999999997</v>
      </c>
      <c r="AC19" s="11">
        <v>20.6</v>
      </c>
      <c r="AE19" t="s">
        <v>22</v>
      </c>
      <c r="AF19" s="8">
        <v>49.06</v>
      </c>
      <c r="AG19" s="8">
        <v>4.944</v>
      </c>
      <c r="AH19" s="8">
        <v>39.597999999999999</v>
      </c>
      <c r="AI19" s="8">
        <v>59</v>
      </c>
      <c r="AK19" t="s">
        <v>22</v>
      </c>
      <c r="AL19" s="11">
        <v>70.558000000000007</v>
      </c>
      <c r="AM19" s="11">
        <v>4.5030000000000001</v>
      </c>
      <c r="AN19" s="11">
        <v>61.5</v>
      </c>
      <c r="AO19" s="11">
        <v>79.099999999999994</v>
      </c>
      <c r="AQ19" t="s">
        <v>22</v>
      </c>
      <c r="AR19" s="11">
        <v>65.102999999999994</v>
      </c>
      <c r="AS19" s="11">
        <v>4.1909999999999998</v>
      </c>
      <c r="AT19" s="11">
        <v>56.8</v>
      </c>
      <c r="AU19" s="11">
        <v>73</v>
      </c>
      <c r="AW19" t="s">
        <v>22</v>
      </c>
      <c r="AX19" s="11">
        <v>60.335000000000001</v>
      </c>
      <c r="AY19" s="11">
        <v>3.7309999999999999</v>
      </c>
      <c r="AZ19" s="11">
        <v>53</v>
      </c>
      <c r="BA19" s="11">
        <v>67.599999999999994</v>
      </c>
      <c r="BC19" t="s">
        <v>22</v>
      </c>
      <c r="BD19" s="11">
        <v>26.4</v>
      </c>
      <c r="BE19" s="11">
        <v>3.7879999999999998</v>
      </c>
      <c r="BF19" s="11">
        <v>19.2</v>
      </c>
      <c r="BG19" s="11">
        <v>34.1</v>
      </c>
    </row>
    <row r="20" spans="1:59" x14ac:dyDescent="0.25">
      <c r="A20" t="s">
        <v>42</v>
      </c>
      <c r="B20" s="11">
        <v>92.81942753823769</v>
      </c>
      <c r="C20" s="11">
        <v>0.53490671548199775</v>
      </c>
      <c r="D20" s="11">
        <v>91.771010375892971</v>
      </c>
      <c r="E20" s="11">
        <v>93.86784470058241</v>
      </c>
      <c r="G20" t="s">
        <v>42</v>
      </c>
      <c r="H20" s="11">
        <v>99.826999999999998</v>
      </c>
      <c r="I20" s="11">
        <v>0.32300000000000001</v>
      </c>
      <c r="J20" s="11">
        <v>98.8</v>
      </c>
      <c r="K20" s="11">
        <v>100</v>
      </c>
      <c r="M20" t="s">
        <v>42</v>
      </c>
      <c r="N20" s="13">
        <v>99.787000000000006</v>
      </c>
      <c r="O20" s="13">
        <v>0.34100000000000003</v>
      </c>
      <c r="P20" s="13">
        <v>98.8</v>
      </c>
      <c r="Q20" s="13">
        <v>100</v>
      </c>
      <c r="S20" t="s">
        <v>42</v>
      </c>
      <c r="T20" s="11">
        <v>99.1</v>
      </c>
      <c r="U20" s="11">
        <v>1.0289999999999999</v>
      </c>
      <c r="V20" s="11">
        <v>96.4</v>
      </c>
      <c r="W20" s="11">
        <v>100</v>
      </c>
      <c r="Y20" t="s">
        <v>42</v>
      </c>
      <c r="Z20" s="11">
        <v>92.944000000000003</v>
      </c>
      <c r="AA20" s="11">
        <v>2.7480000000000002</v>
      </c>
      <c r="AB20" s="11">
        <v>87.2</v>
      </c>
      <c r="AC20" s="11">
        <v>98.2</v>
      </c>
      <c r="AE20" t="s">
        <v>42</v>
      </c>
      <c r="AF20" s="8">
        <v>83.691999999999993</v>
      </c>
      <c r="AG20" s="8">
        <v>4.22</v>
      </c>
      <c r="AH20" s="8">
        <v>74.8</v>
      </c>
      <c r="AI20" s="8">
        <v>91.4</v>
      </c>
      <c r="AK20" t="s">
        <v>42</v>
      </c>
      <c r="AL20" s="11">
        <v>59.442999999999998</v>
      </c>
      <c r="AM20" s="11">
        <v>5.4610000000000003</v>
      </c>
      <c r="AN20" s="11">
        <v>48.3</v>
      </c>
      <c r="AO20" s="11">
        <v>69.5</v>
      </c>
      <c r="AQ20" t="s">
        <v>42</v>
      </c>
      <c r="AR20" s="11">
        <v>60.113</v>
      </c>
      <c r="AS20" s="11">
        <v>5.149</v>
      </c>
      <c r="AT20" s="11">
        <v>50</v>
      </c>
      <c r="AU20" s="11">
        <v>70.001999999999995</v>
      </c>
      <c r="AW20" t="s">
        <v>42</v>
      </c>
      <c r="AX20" s="11">
        <v>61.188000000000002</v>
      </c>
      <c r="AY20" s="11">
        <v>4.6390000000000002</v>
      </c>
      <c r="AZ20" s="11">
        <v>51.8</v>
      </c>
      <c r="BA20" s="11">
        <v>69.900000000000006</v>
      </c>
      <c r="BC20" t="s">
        <v>42</v>
      </c>
      <c r="BD20" s="11">
        <v>84.489000000000004</v>
      </c>
      <c r="BE20" s="11">
        <v>3.87</v>
      </c>
      <c r="BF20" s="11">
        <v>76.8</v>
      </c>
      <c r="BG20" s="11">
        <v>92.1</v>
      </c>
    </row>
    <row r="21" spans="1:59" x14ac:dyDescent="0.25">
      <c r="A21" t="s">
        <v>21</v>
      </c>
      <c r="B21" s="11">
        <v>7.1805724617623143</v>
      </c>
      <c r="C21" s="11">
        <v>0.53514938914576227</v>
      </c>
      <c r="D21" s="11">
        <v>6.13167965903662</v>
      </c>
      <c r="E21" s="11">
        <v>8.2294652644880077</v>
      </c>
      <c r="G21" t="s">
        <v>21</v>
      </c>
      <c r="H21" s="11">
        <v>0.17299999999999999</v>
      </c>
      <c r="I21" s="11">
        <v>0.32400000000000001</v>
      </c>
      <c r="J21" s="11">
        <v>0</v>
      </c>
      <c r="K21" s="11">
        <v>1.2</v>
      </c>
      <c r="M21" t="s">
        <v>21</v>
      </c>
      <c r="N21" s="13">
        <v>0.21299999999999999</v>
      </c>
      <c r="O21" s="13">
        <v>0.34300000000000003</v>
      </c>
      <c r="P21" s="13">
        <v>0</v>
      </c>
      <c r="Q21" s="13">
        <v>1.2</v>
      </c>
      <c r="S21" t="s">
        <v>21</v>
      </c>
      <c r="T21" s="11">
        <v>0.9</v>
      </c>
      <c r="U21" s="11">
        <v>1.0309999999999999</v>
      </c>
      <c r="V21" s="11">
        <v>0</v>
      </c>
      <c r="W21" s="11">
        <v>3.6</v>
      </c>
      <c r="Y21" t="s">
        <v>21</v>
      </c>
      <c r="Z21" s="11">
        <v>7.056</v>
      </c>
      <c r="AA21" s="11">
        <v>2.7490000000000001</v>
      </c>
      <c r="AB21" s="11">
        <v>1.8</v>
      </c>
      <c r="AC21" s="11">
        <v>12.8</v>
      </c>
      <c r="AE21" t="s">
        <v>21</v>
      </c>
      <c r="AF21" s="8">
        <v>16.308</v>
      </c>
      <c r="AG21" s="8">
        <v>4.22</v>
      </c>
      <c r="AH21" s="8">
        <v>8.6</v>
      </c>
      <c r="AI21" s="8">
        <v>25.2</v>
      </c>
      <c r="AK21" t="s">
        <v>21</v>
      </c>
      <c r="AL21" s="11">
        <v>40.557000000000002</v>
      </c>
      <c r="AM21" s="11">
        <v>5.46</v>
      </c>
      <c r="AN21" s="11">
        <v>30.4</v>
      </c>
      <c r="AO21" s="11">
        <v>51.7</v>
      </c>
      <c r="AQ21" t="s">
        <v>21</v>
      </c>
      <c r="AR21" s="11">
        <v>39.887</v>
      </c>
      <c r="AS21" s="11">
        <v>5.149</v>
      </c>
      <c r="AT21" s="11">
        <v>29.9</v>
      </c>
      <c r="AU21" s="11">
        <v>50</v>
      </c>
      <c r="AW21" t="s">
        <v>21</v>
      </c>
      <c r="AX21" s="11">
        <v>38.811999999999998</v>
      </c>
      <c r="AY21" s="11">
        <v>4.6390000000000002</v>
      </c>
      <c r="AZ21" s="11">
        <v>30</v>
      </c>
      <c r="BA21" s="11">
        <v>48.2</v>
      </c>
      <c r="BC21" t="s">
        <v>21</v>
      </c>
      <c r="BD21" s="11">
        <v>15.510999999999999</v>
      </c>
      <c r="BE21" s="11">
        <v>3.8690000000000002</v>
      </c>
      <c r="BF21" s="11">
        <v>7.9</v>
      </c>
      <c r="BG21" s="11">
        <v>23.2</v>
      </c>
    </row>
    <row r="23" spans="1:59" x14ac:dyDescent="0.25">
      <c r="A23" s="5" t="s">
        <v>152</v>
      </c>
      <c r="G23" s="16" t="s">
        <v>195</v>
      </c>
    </row>
    <row r="24" spans="1:59" x14ac:dyDescent="0.25">
      <c r="A24" t="s">
        <v>64</v>
      </c>
      <c r="B24" s="6" t="s">
        <v>65</v>
      </c>
      <c r="C24" s="6" t="s">
        <v>34</v>
      </c>
      <c r="D24" s="14" t="s">
        <v>111</v>
      </c>
      <c r="E24" s="14"/>
      <c r="G24" s="16" t="s">
        <v>196</v>
      </c>
    </row>
    <row r="25" spans="1:59" x14ac:dyDescent="0.25">
      <c r="A25" t="s">
        <v>9</v>
      </c>
      <c r="B25" s="11">
        <v>98.238001414474382</v>
      </c>
      <c r="C25" s="11">
        <v>0.67476086022720583</v>
      </c>
      <c r="D25" s="11">
        <v>96.915470128429064</v>
      </c>
      <c r="E25" s="11">
        <v>99.560532700519701</v>
      </c>
      <c r="G25" s="17" t="s">
        <v>197</v>
      </c>
    </row>
    <row r="26" spans="1:59" x14ac:dyDescent="0.25">
      <c r="A26" s="6" t="s">
        <v>10</v>
      </c>
      <c r="B26" s="11">
        <v>79.723754788086666</v>
      </c>
      <c r="C26" s="11">
        <v>3.5594045001518464</v>
      </c>
      <c r="D26" s="11">
        <v>72.747321967789048</v>
      </c>
      <c r="E26" s="11">
        <v>86.700187608384283</v>
      </c>
      <c r="G26" s="18" t="s">
        <v>198</v>
      </c>
    </row>
    <row r="27" spans="1:59" x14ac:dyDescent="0.25">
      <c r="A27" s="6" t="s">
        <v>101</v>
      </c>
      <c r="B27" s="11">
        <v>18.472236281768637</v>
      </c>
      <c r="C27" s="11">
        <v>3.5983994775656578</v>
      </c>
      <c r="D27" s="11">
        <v>11.419373305739949</v>
      </c>
      <c r="E27" s="11">
        <v>25.525099257797326</v>
      </c>
      <c r="G27" s="18" t="s">
        <v>199</v>
      </c>
    </row>
    <row r="28" spans="1:59" x14ac:dyDescent="0.25">
      <c r="A28" s="9" t="s">
        <v>126</v>
      </c>
      <c r="B28" s="11">
        <v>14.574881036880575</v>
      </c>
      <c r="C28" s="11">
        <v>3.898160715952979</v>
      </c>
      <c r="D28" s="11">
        <v>6.9344860336127363</v>
      </c>
      <c r="E28" s="11">
        <v>22.215276040148414</v>
      </c>
      <c r="G28" s="18" t="s">
        <v>200</v>
      </c>
    </row>
    <row r="29" spans="1:59" x14ac:dyDescent="0.25">
      <c r="A29" s="9" t="s">
        <v>103</v>
      </c>
      <c r="B29" s="11">
        <v>3.8868949542252649</v>
      </c>
      <c r="C29" s="11">
        <v>1.220596217355431</v>
      </c>
      <c r="D29" s="11">
        <v>1.4945263682086201</v>
      </c>
      <c r="E29" s="11">
        <v>6.2792635402419101</v>
      </c>
      <c r="G29" s="16" t="s">
        <v>201</v>
      </c>
    </row>
    <row r="30" spans="1:59" x14ac:dyDescent="0.25">
      <c r="A30" t="s">
        <v>11</v>
      </c>
      <c r="B30" s="11">
        <v>1.7619985855256202</v>
      </c>
      <c r="C30" s="11">
        <v>0.67473300550465753</v>
      </c>
      <c r="D30" s="11">
        <v>0.43952189473649139</v>
      </c>
      <c r="E30" s="11">
        <v>3.0844752763147492</v>
      </c>
      <c r="G30" s="16" t="s">
        <v>202</v>
      </c>
    </row>
    <row r="31" spans="1:59" x14ac:dyDescent="0.25">
      <c r="A31" s="6" t="s">
        <v>103</v>
      </c>
      <c r="B31" s="11">
        <v>0.33287961016448042</v>
      </c>
      <c r="C31" s="11">
        <v>0.36346808771799499</v>
      </c>
      <c r="D31" s="11">
        <v>0</v>
      </c>
      <c r="E31" s="11">
        <v>1.0452770620917506</v>
      </c>
      <c r="G31" s="16" t="s">
        <v>203</v>
      </c>
    </row>
    <row r="32" spans="1:59" x14ac:dyDescent="0.25">
      <c r="A32" s="6" t="s">
        <v>38</v>
      </c>
      <c r="B32" s="11">
        <v>0.85983800836962254</v>
      </c>
      <c r="C32" s="11">
        <v>0.55510547947588629</v>
      </c>
      <c r="D32" s="11">
        <v>0</v>
      </c>
      <c r="E32" s="11">
        <v>1.9478447481423595</v>
      </c>
      <c r="G32" s="16" t="s">
        <v>204</v>
      </c>
    </row>
    <row r="33" spans="1:7" x14ac:dyDescent="0.25">
      <c r="A33" s="6" t="s">
        <v>104</v>
      </c>
      <c r="B33" s="11">
        <v>0.54256160605349035</v>
      </c>
      <c r="C33" s="11">
        <v>0.25667536924890616</v>
      </c>
      <c r="D33" s="11">
        <v>3.9477882325634317E-2</v>
      </c>
      <c r="E33" s="11">
        <v>1.0456453297813464</v>
      </c>
      <c r="G33" s="16" t="s">
        <v>205</v>
      </c>
    </row>
    <row r="34" spans="1:7" x14ac:dyDescent="0.25">
      <c r="A34" s="9" t="s">
        <v>14</v>
      </c>
      <c r="B34" s="11">
        <v>0.36720110168004538</v>
      </c>
      <c r="C34" s="11">
        <v>0.1972757198689139</v>
      </c>
      <c r="D34" s="11">
        <v>0</v>
      </c>
      <c r="E34" s="11">
        <v>0.75386151262311663</v>
      </c>
      <c r="G34" s="16" t="s">
        <v>206</v>
      </c>
    </row>
    <row r="35" spans="1:7" x14ac:dyDescent="0.25">
      <c r="A35" s="9" t="s">
        <v>15</v>
      </c>
      <c r="B35" s="11">
        <v>0.18296770153663189</v>
      </c>
      <c r="C35" s="11">
        <v>0.18498154227244751</v>
      </c>
      <c r="D35" s="11">
        <v>0</v>
      </c>
      <c r="E35" s="11">
        <v>0.54553152439062902</v>
      </c>
      <c r="G35" s="16" t="s">
        <v>207</v>
      </c>
    </row>
    <row r="36" spans="1:7" x14ac:dyDescent="0.25">
      <c r="A36" s="6" t="s">
        <v>105</v>
      </c>
      <c r="B36" s="11">
        <v>6.8445281208858108E-2</v>
      </c>
      <c r="C36" s="11">
        <v>8.2873440173397234E-2</v>
      </c>
      <c r="D36" s="11">
        <v>0</v>
      </c>
      <c r="E36" s="11">
        <v>0.23087722394871668</v>
      </c>
      <c r="G36" s="16" t="s">
        <v>208</v>
      </c>
    </row>
    <row r="37" spans="1:7" x14ac:dyDescent="0.25">
      <c r="A37" s="9" t="s">
        <v>17</v>
      </c>
      <c r="B37" s="11">
        <v>4.9113616087244093E-2</v>
      </c>
      <c r="C37" s="11">
        <v>6.4735287169995034E-2</v>
      </c>
      <c r="D37" s="11">
        <v>0</v>
      </c>
      <c r="E37" s="11">
        <v>0.17599477894043436</v>
      </c>
      <c r="G37" s="16" t="s">
        <v>209</v>
      </c>
    </row>
    <row r="38" spans="1:7" x14ac:dyDescent="0.25">
      <c r="A38" s="9" t="s">
        <v>18</v>
      </c>
      <c r="B38" s="11">
        <v>2.3423343686855478E-2</v>
      </c>
      <c r="C38" s="11">
        <v>5.4273257993375797E-2</v>
      </c>
      <c r="D38" s="11">
        <v>0</v>
      </c>
      <c r="E38" s="11">
        <v>0.12979892935387205</v>
      </c>
      <c r="G38" s="16" t="s">
        <v>210</v>
      </c>
    </row>
    <row r="39" spans="1:7" x14ac:dyDescent="0.25">
      <c r="A39" t="s">
        <v>41</v>
      </c>
      <c r="B39" s="11">
        <v>1.1779577827808057</v>
      </c>
      <c r="C39" s="11">
        <v>0.662066963992747</v>
      </c>
      <c r="D39" s="11">
        <v>0</v>
      </c>
      <c r="E39" s="11">
        <v>2.4756090322065898</v>
      </c>
      <c r="G39" s="16" t="s">
        <v>211</v>
      </c>
    </row>
    <row r="40" spans="1:7" x14ac:dyDescent="0.25">
      <c r="A40" t="s">
        <v>106</v>
      </c>
      <c r="B40" s="11">
        <v>0.23755050059335214</v>
      </c>
      <c r="C40" s="11">
        <v>0.20055508283841283</v>
      </c>
      <c r="D40" s="11">
        <v>0</v>
      </c>
      <c r="E40" s="11">
        <v>0.63063846295664128</v>
      </c>
      <c r="G40" s="16" t="s">
        <v>212</v>
      </c>
    </row>
    <row r="41" spans="1:7" x14ac:dyDescent="0.25">
      <c r="A41" t="s">
        <v>22</v>
      </c>
      <c r="B41" s="11">
        <v>1.4421648899488484</v>
      </c>
      <c r="C41" s="11">
        <v>0.57141338830631339</v>
      </c>
      <c r="D41" s="11">
        <v>0.32219464886847415</v>
      </c>
      <c r="E41" s="11">
        <v>2.5621351310292226</v>
      </c>
      <c r="G41" s="19" t="s">
        <v>213</v>
      </c>
    </row>
    <row r="42" spans="1:7" x14ac:dyDescent="0.25">
      <c r="A42" t="s">
        <v>42</v>
      </c>
      <c r="B42" s="11">
        <v>99.40274416561779</v>
      </c>
      <c r="C42" s="11">
        <v>0.26598699670115955</v>
      </c>
      <c r="D42" s="11">
        <v>98.881409652083519</v>
      </c>
      <c r="E42" s="11">
        <v>100</v>
      </c>
    </row>
    <row r="43" spans="1:7" x14ac:dyDescent="0.25">
      <c r="A43" t="s">
        <v>21</v>
      </c>
      <c r="B43" s="11">
        <v>0.59725583438222563</v>
      </c>
      <c r="C43" s="11">
        <v>0.26680558029993934</v>
      </c>
      <c r="D43" s="11">
        <v>7.4316896994344517E-2</v>
      </c>
      <c r="E43" s="11">
        <v>1.1201947717701066</v>
      </c>
    </row>
    <row r="45" spans="1:7" x14ac:dyDescent="0.25">
      <c r="A45" s="5" t="s">
        <v>108</v>
      </c>
    </row>
    <row r="46" spans="1:7" x14ac:dyDescent="0.25">
      <c r="A46" t="s">
        <v>64</v>
      </c>
      <c r="B46" s="6" t="s">
        <v>65</v>
      </c>
      <c r="C46" s="6" t="s">
        <v>34</v>
      </c>
      <c r="D46" s="14" t="s">
        <v>111</v>
      </c>
      <c r="E46" s="14"/>
    </row>
    <row r="47" spans="1:7" x14ac:dyDescent="0.25">
      <c r="A47" t="s">
        <v>9</v>
      </c>
      <c r="B47" s="11">
        <v>10.692811978084102</v>
      </c>
      <c r="C47" s="11">
        <v>1.2823030146098091</v>
      </c>
      <c r="D47" s="11">
        <v>8.1794980694488757</v>
      </c>
      <c r="E47" s="11">
        <v>13.206125886719327</v>
      </c>
    </row>
    <row r="48" spans="1:7" x14ac:dyDescent="0.25">
      <c r="A48" s="6" t="s">
        <v>10</v>
      </c>
      <c r="B48" s="11">
        <v>3.4784104688348179</v>
      </c>
      <c r="C48" s="11">
        <v>0.79661640136248624</v>
      </c>
      <c r="D48" s="11">
        <v>1.9170423221643449</v>
      </c>
      <c r="E48" s="11">
        <v>5.0397786155052913</v>
      </c>
    </row>
    <row r="49" spans="1:7" x14ac:dyDescent="0.25">
      <c r="A49" s="6" t="s">
        <v>101</v>
      </c>
      <c r="B49" s="11">
        <v>7.2151046461589532</v>
      </c>
      <c r="C49" s="11">
        <v>1.3893054086330203</v>
      </c>
      <c r="D49" s="11">
        <v>4.4920660452382339</v>
      </c>
      <c r="E49" s="11">
        <v>9.9381432470796724</v>
      </c>
    </row>
    <row r="50" spans="1:7" x14ac:dyDescent="0.25">
      <c r="A50" s="9" t="s">
        <v>126</v>
      </c>
      <c r="B50" s="11">
        <v>6.1821540413060658</v>
      </c>
      <c r="C50" s="11">
        <v>1.4459085761536588</v>
      </c>
      <c r="D50" s="11">
        <v>3.3481732320448949</v>
      </c>
      <c r="E50" s="11">
        <v>9.0161348505672372</v>
      </c>
    </row>
    <row r="51" spans="1:7" x14ac:dyDescent="0.25">
      <c r="A51" s="9" t="s">
        <v>103</v>
      </c>
      <c r="B51" s="11">
        <v>1.0433831836553309</v>
      </c>
      <c r="C51" s="11">
        <v>0.69085809370223394</v>
      </c>
      <c r="D51" s="11">
        <v>0</v>
      </c>
      <c r="E51" s="11">
        <v>2.3974650473117096</v>
      </c>
    </row>
    <row r="52" spans="1:7" x14ac:dyDescent="0.25">
      <c r="A52" t="s">
        <v>11</v>
      </c>
      <c r="B52" s="11">
        <v>89.307188021915906</v>
      </c>
      <c r="C52" s="11">
        <v>1.2824370427772538</v>
      </c>
      <c r="D52" s="11">
        <v>86.793611418072487</v>
      </c>
      <c r="E52" s="11">
        <v>91.820764625759324</v>
      </c>
    </row>
    <row r="53" spans="1:7" x14ac:dyDescent="0.25">
      <c r="A53" s="6" t="s">
        <v>103</v>
      </c>
      <c r="B53" s="11">
        <v>33.693434795143176</v>
      </c>
      <c r="C53" s="11">
        <v>1.9082523444827955</v>
      </c>
      <c r="D53" s="11">
        <v>29.953260199956897</v>
      </c>
      <c r="E53" s="11">
        <v>37.433609390329458</v>
      </c>
      <c r="G53" s="10">
        <f>B53/$B$52</f>
        <v>0.37727573268654296</v>
      </c>
    </row>
    <row r="54" spans="1:7" x14ac:dyDescent="0.25">
      <c r="A54" s="6" t="s">
        <v>38</v>
      </c>
      <c r="B54" s="11">
        <v>23.466937503691558</v>
      </c>
      <c r="C54" s="11">
        <v>2.3869202447042879</v>
      </c>
      <c r="D54" s="11">
        <v>18.788573824071154</v>
      </c>
      <c r="E54" s="11">
        <v>28.145301183311961</v>
      </c>
      <c r="G54" s="10">
        <f>B54/$B$52</f>
        <v>0.26276650316134453</v>
      </c>
    </row>
    <row r="55" spans="1:7" x14ac:dyDescent="0.25">
      <c r="A55" s="6" t="s">
        <v>104</v>
      </c>
      <c r="B55" s="11">
        <v>17.777959945547771</v>
      </c>
      <c r="C55" s="11">
        <v>2.2799486696387747</v>
      </c>
      <c r="D55" s="11">
        <v>13.309260553055772</v>
      </c>
      <c r="E55" s="11">
        <v>22.24665933803977</v>
      </c>
      <c r="G55" s="10">
        <f>B55/$B$52</f>
        <v>0.19906527502786309</v>
      </c>
    </row>
    <row r="56" spans="1:7" x14ac:dyDescent="0.25">
      <c r="A56" s="9" t="s">
        <v>14</v>
      </c>
      <c r="B56" s="11">
        <v>2.9753448547424912</v>
      </c>
      <c r="C56" s="11">
        <v>1.6895754002467436</v>
      </c>
      <c r="D56" s="11">
        <v>0</v>
      </c>
      <c r="E56" s="11">
        <v>6.2869126392261085</v>
      </c>
      <c r="G56" s="10">
        <f t="shared" ref="G56:G60" si="0">B56/$B$52</f>
        <v>3.3315849716512677E-2</v>
      </c>
    </row>
    <row r="57" spans="1:7" x14ac:dyDescent="0.25">
      <c r="A57" s="9" t="s">
        <v>15</v>
      </c>
      <c r="B57" s="11">
        <v>14.805518501382402</v>
      </c>
      <c r="C57" s="11">
        <v>2.183247487280223</v>
      </c>
      <c r="D57" s="11">
        <v>10.526353426313165</v>
      </c>
      <c r="E57" s="11">
        <v>19.084683576451638</v>
      </c>
      <c r="G57" s="10">
        <f t="shared" si="0"/>
        <v>0.16578193569087787</v>
      </c>
    </row>
    <row r="58" spans="1:7" x14ac:dyDescent="0.25">
      <c r="A58" s="6" t="s">
        <v>105</v>
      </c>
      <c r="B58" s="11">
        <v>14.353650400375766</v>
      </c>
      <c r="C58" s="11">
        <v>1.1826751044242627</v>
      </c>
      <c r="D58" s="11">
        <v>12.035607195704213</v>
      </c>
      <c r="E58" s="11">
        <v>16.67169360504732</v>
      </c>
      <c r="G58" s="10">
        <f t="shared" si="0"/>
        <v>0.16072222984843496</v>
      </c>
    </row>
    <row r="59" spans="1:7" x14ac:dyDescent="0.25">
      <c r="A59" s="9" t="s">
        <v>17</v>
      </c>
      <c r="B59" s="11">
        <v>13.855187434079333</v>
      </c>
      <c r="C59" s="11">
        <v>1.1426398579009647</v>
      </c>
      <c r="D59" s="11">
        <v>11.615613312593442</v>
      </c>
      <c r="E59" s="11">
        <v>16.094761555565224</v>
      </c>
      <c r="G59" s="10">
        <f t="shared" si="0"/>
        <v>0.15514078699554712</v>
      </c>
    </row>
    <row r="60" spans="1:7" x14ac:dyDescent="0.25">
      <c r="A60" s="9" t="s">
        <v>18</v>
      </c>
      <c r="B60" s="11">
        <v>0.49935013683372664</v>
      </c>
      <c r="C60" s="11">
        <v>0.31220330916313765</v>
      </c>
      <c r="D60" s="11">
        <v>0</v>
      </c>
      <c r="E60" s="11">
        <v>1.1112686227934763</v>
      </c>
      <c r="G60" s="10">
        <f t="shared" si="0"/>
        <v>5.5913767737394955E-3</v>
      </c>
    </row>
    <row r="61" spans="1:7" x14ac:dyDescent="0.25">
      <c r="A61" t="s">
        <v>41</v>
      </c>
      <c r="B61" s="11">
        <v>57.159370069837237</v>
      </c>
      <c r="C61" s="11">
        <v>2.6333285469561543</v>
      </c>
      <c r="D61" s="11">
        <v>51.998046117803177</v>
      </c>
      <c r="E61" s="11">
        <v>62.320694021871297</v>
      </c>
    </row>
    <row r="62" spans="1:7" x14ac:dyDescent="0.25">
      <c r="A62" t="s">
        <v>106</v>
      </c>
      <c r="B62" s="11">
        <v>29.162922437918553</v>
      </c>
      <c r="C62" s="11">
        <v>2.3211027622226674</v>
      </c>
      <c r="D62" s="11">
        <v>24.613561023962124</v>
      </c>
      <c r="E62" s="11">
        <v>33.712283851874979</v>
      </c>
    </row>
    <row r="63" spans="1:7" x14ac:dyDescent="0.25">
      <c r="A63" t="s">
        <v>22</v>
      </c>
      <c r="B63" s="11">
        <v>55.609459582720419</v>
      </c>
      <c r="C63" s="11">
        <v>2.0150221977118004</v>
      </c>
      <c r="D63" s="11">
        <v>51.660016075205291</v>
      </c>
      <c r="E63" s="11">
        <v>59.558903090235546</v>
      </c>
    </row>
    <row r="64" spans="1:7" x14ac:dyDescent="0.25">
      <c r="A64" t="s">
        <v>42</v>
      </c>
      <c r="B64" s="11">
        <v>67.862174766060733</v>
      </c>
      <c r="C64" s="11">
        <v>2.3560155997418715</v>
      </c>
      <c r="D64" s="11">
        <v>63.244384190566663</v>
      </c>
      <c r="E64" s="11">
        <v>72.479965341554802</v>
      </c>
    </row>
    <row r="65" spans="1:5" x14ac:dyDescent="0.25">
      <c r="A65" t="s">
        <v>21</v>
      </c>
      <c r="B65" s="11">
        <v>32.137825233939267</v>
      </c>
      <c r="C65" s="11">
        <v>2.3559503403045481</v>
      </c>
      <c r="D65" s="11">
        <v>27.520162566942354</v>
      </c>
      <c r="E65" s="11">
        <v>36.755487900936181</v>
      </c>
    </row>
  </sheetData>
  <mergeCells count="12">
    <mergeCell ref="BF2:BG2"/>
    <mergeCell ref="D2:E2"/>
    <mergeCell ref="D24:E24"/>
    <mergeCell ref="D46:E46"/>
    <mergeCell ref="J2:K2"/>
    <mergeCell ref="P2:Q2"/>
    <mergeCell ref="V2:W2"/>
    <mergeCell ref="AB2:AC2"/>
    <mergeCell ref="AH2:AI2"/>
    <mergeCell ref="AN2:AO2"/>
    <mergeCell ref="AT2:AU2"/>
    <mergeCell ref="AZ2:BA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2DAAB-CD84-4685-BE20-93344224D77B}">
  <dimension ref="A1:BY65"/>
  <sheetViews>
    <sheetView workbookViewId="0"/>
  </sheetViews>
  <sheetFormatPr defaultRowHeight="15" x14ac:dyDescent="0.25"/>
  <cols>
    <col min="1" max="1" width="21.28515625" customWidth="1"/>
    <col min="7" max="7" width="9.7109375" customWidth="1"/>
  </cols>
  <sheetData>
    <row r="1" spans="1:77" x14ac:dyDescent="0.25">
      <c r="A1" s="5" t="s">
        <v>164</v>
      </c>
      <c r="G1" s="12" t="s">
        <v>166</v>
      </c>
      <c r="I1" s="12" t="s">
        <v>167</v>
      </c>
      <c r="M1" s="12" t="s">
        <v>168</v>
      </c>
      <c r="O1" s="12" t="s">
        <v>110</v>
      </c>
      <c r="S1" s="12" t="s">
        <v>169</v>
      </c>
      <c r="U1" s="12" t="s">
        <v>110</v>
      </c>
      <c r="Y1" s="12" t="s">
        <v>170</v>
      </c>
      <c r="AA1" s="12" t="s">
        <v>110</v>
      </c>
      <c r="AE1" s="12" t="s">
        <v>171</v>
      </c>
      <c r="AG1" s="12" t="s">
        <v>110</v>
      </c>
      <c r="AK1" s="12" t="s">
        <v>172</v>
      </c>
      <c r="AM1" s="12" t="s">
        <v>173</v>
      </c>
      <c r="AQ1" s="12" t="s">
        <v>174</v>
      </c>
      <c r="AS1" s="12" t="s">
        <v>110</v>
      </c>
      <c r="AW1" s="12" t="s">
        <v>118</v>
      </c>
      <c r="AY1" s="12" t="s">
        <v>110</v>
      </c>
      <c r="BC1" s="12" t="s">
        <v>175</v>
      </c>
      <c r="BE1" s="12" t="s">
        <v>110</v>
      </c>
      <c r="BI1" s="12" t="s">
        <v>176</v>
      </c>
      <c r="BK1" s="12" t="s">
        <v>110</v>
      </c>
      <c r="BO1" s="12" t="s">
        <v>177</v>
      </c>
      <c r="BQ1" s="12" t="s">
        <v>110</v>
      </c>
      <c r="BU1" s="12" t="s">
        <v>178</v>
      </c>
      <c r="BW1" s="12" t="s">
        <v>179</v>
      </c>
    </row>
    <row r="2" spans="1:77" x14ac:dyDescent="0.25">
      <c r="A2" t="s">
        <v>64</v>
      </c>
      <c r="B2" s="7" t="s">
        <v>65</v>
      </c>
      <c r="C2" s="7" t="s">
        <v>34</v>
      </c>
      <c r="D2" s="14" t="s">
        <v>111</v>
      </c>
      <c r="E2" s="14"/>
      <c r="G2" t="s">
        <v>64</v>
      </c>
      <c r="H2" t="s">
        <v>65</v>
      </c>
      <c r="I2" t="s">
        <v>34</v>
      </c>
      <c r="J2" s="14" t="s">
        <v>111</v>
      </c>
      <c r="K2" s="14"/>
      <c r="M2" t="s">
        <v>64</v>
      </c>
      <c r="N2" t="s">
        <v>65</v>
      </c>
      <c r="O2" t="s">
        <v>34</v>
      </c>
      <c r="P2" s="14" t="s">
        <v>111</v>
      </c>
      <c r="Q2" s="14"/>
      <c r="S2" t="s">
        <v>64</v>
      </c>
      <c r="T2" t="s">
        <v>65</v>
      </c>
      <c r="U2" t="s">
        <v>34</v>
      </c>
      <c r="V2" s="14" t="s">
        <v>111</v>
      </c>
      <c r="W2" s="14"/>
      <c r="Y2" t="s">
        <v>64</v>
      </c>
      <c r="Z2" t="s">
        <v>65</v>
      </c>
      <c r="AA2" t="s">
        <v>34</v>
      </c>
      <c r="AB2" s="14" t="s">
        <v>111</v>
      </c>
      <c r="AC2" s="14"/>
      <c r="AE2" t="s">
        <v>64</v>
      </c>
      <c r="AF2" t="s">
        <v>65</v>
      </c>
      <c r="AG2" t="s">
        <v>34</v>
      </c>
      <c r="AH2" s="14" t="s">
        <v>111</v>
      </c>
      <c r="AI2" s="14"/>
      <c r="AK2" t="s">
        <v>64</v>
      </c>
      <c r="AL2" t="s">
        <v>65</v>
      </c>
      <c r="AM2" t="s">
        <v>34</v>
      </c>
      <c r="AN2" s="14" t="s">
        <v>111</v>
      </c>
      <c r="AO2" s="14"/>
      <c r="AQ2" t="s">
        <v>64</v>
      </c>
      <c r="AR2" t="s">
        <v>65</v>
      </c>
      <c r="AS2" t="s">
        <v>34</v>
      </c>
      <c r="AT2" s="14" t="s">
        <v>111</v>
      </c>
      <c r="AU2" s="14"/>
      <c r="AW2" t="s">
        <v>64</v>
      </c>
      <c r="AX2" t="s">
        <v>65</v>
      </c>
      <c r="AY2" t="s">
        <v>34</v>
      </c>
      <c r="AZ2" s="14" t="s">
        <v>111</v>
      </c>
      <c r="BA2" s="14"/>
      <c r="BC2" t="s">
        <v>64</v>
      </c>
      <c r="BD2" t="s">
        <v>65</v>
      </c>
      <c r="BE2" t="s">
        <v>34</v>
      </c>
      <c r="BF2" s="14" t="s">
        <v>111</v>
      </c>
      <c r="BG2" s="14"/>
      <c r="BI2" t="s">
        <v>64</v>
      </c>
      <c r="BJ2" t="s">
        <v>65</v>
      </c>
      <c r="BK2" t="s">
        <v>34</v>
      </c>
      <c r="BL2" s="14" t="s">
        <v>111</v>
      </c>
      <c r="BM2" s="14"/>
      <c r="BO2" t="s">
        <v>64</v>
      </c>
      <c r="BP2" t="s">
        <v>65</v>
      </c>
      <c r="BQ2" t="s">
        <v>34</v>
      </c>
      <c r="BR2" s="14" t="s">
        <v>111</v>
      </c>
      <c r="BS2" s="14"/>
      <c r="BU2" t="s">
        <v>64</v>
      </c>
      <c r="BV2" t="s">
        <v>65</v>
      </c>
      <c r="BW2" t="s">
        <v>34</v>
      </c>
      <c r="BX2" s="14" t="s">
        <v>111</v>
      </c>
      <c r="BY2" s="14"/>
    </row>
    <row r="3" spans="1:77" x14ac:dyDescent="0.25">
      <c r="A3" t="s">
        <v>9</v>
      </c>
      <c r="B3" s="11">
        <v>75.479367331669849</v>
      </c>
      <c r="C3" s="11">
        <v>0.48001566506586257</v>
      </c>
      <c r="D3" s="11">
        <v>74.538536628140761</v>
      </c>
      <c r="E3" s="11">
        <v>76.420198035198936</v>
      </c>
      <c r="G3" t="s">
        <v>9</v>
      </c>
      <c r="H3" s="11">
        <v>99.363</v>
      </c>
      <c r="I3" s="11">
        <v>0.79200000000000004</v>
      </c>
      <c r="J3" s="11">
        <v>97.2</v>
      </c>
      <c r="K3" s="11">
        <v>100</v>
      </c>
      <c r="M3" t="s">
        <v>9</v>
      </c>
      <c r="N3" s="11">
        <v>99.143000000000001</v>
      </c>
      <c r="O3" s="11">
        <v>1.0189999999999999</v>
      </c>
      <c r="P3" s="11">
        <v>96.2</v>
      </c>
      <c r="Q3" s="11">
        <v>100</v>
      </c>
      <c r="S3" t="s">
        <v>9</v>
      </c>
      <c r="T3" s="11">
        <v>99.646000000000001</v>
      </c>
      <c r="U3" s="11">
        <v>0.51200000000000001</v>
      </c>
      <c r="V3" s="11">
        <v>98.1</v>
      </c>
      <c r="W3" s="11">
        <v>100</v>
      </c>
      <c r="Y3" t="s">
        <v>9</v>
      </c>
      <c r="Z3" s="11">
        <v>98.948999999999998</v>
      </c>
      <c r="AA3" s="11">
        <v>1.1259999999999999</v>
      </c>
      <c r="AB3" s="11">
        <v>96</v>
      </c>
      <c r="AC3" s="11">
        <v>100</v>
      </c>
      <c r="AE3" t="s">
        <v>9</v>
      </c>
      <c r="AF3" s="11">
        <v>99.055000000000007</v>
      </c>
      <c r="AG3" s="11">
        <v>1.0780000000000001</v>
      </c>
      <c r="AH3" s="11">
        <v>96</v>
      </c>
      <c r="AI3" s="11">
        <v>100</v>
      </c>
      <c r="AK3" t="s">
        <v>9</v>
      </c>
      <c r="AL3" s="11">
        <v>98.427999999999997</v>
      </c>
      <c r="AM3" s="11">
        <v>1.296</v>
      </c>
      <c r="AN3" s="11">
        <v>95.2</v>
      </c>
      <c r="AO3" s="11">
        <v>100</v>
      </c>
      <c r="AQ3" t="s">
        <v>9</v>
      </c>
      <c r="AR3" s="11">
        <v>68.141999999999996</v>
      </c>
      <c r="AS3" s="11">
        <v>4.1680000000000001</v>
      </c>
      <c r="AT3" s="11">
        <v>59.8</v>
      </c>
      <c r="AU3" s="11">
        <v>76.099999999999994</v>
      </c>
      <c r="AW3" t="s">
        <v>9</v>
      </c>
      <c r="AX3" s="11">
        <v>24.86</v>
      </c>
      <c r="AY3" s="11">
        <v>3.4079999999999999</v>
      </c>
      <c r="AZ3" s="11">
        <v>18.5</v>
      </c>
      <c r="BA3" s="11">
        <v>31.9</v>
      </c>
      <c r="BC3" t="s">
        <v>9</v>
      </c>
      <c r="BD3" s="11">
        <v>11.43</v>
      </c>
      <c r="BE3" s="11">
        <v>2.8370000000000002</v>
      </c>
      <c r="BF3" s="11">
        <v>6.2</v>
      </c>
      <c r="BG3" s="11">
        <v>17.399999999999999</v>
      </c>
      <c r="BI3" t="s">
        <v>9</v>
      </c>
      <c r="BJ3" s="11">
        <v>4.9400000000000004</v>
      </c>
      <c r="BK3" s="11">
        <v>2.6360000000000001</v>
      </c>
      <c r="BL3" s="11">
        <v>1.1000000000000001</v>
      </c>
      <c r="BM3" s="11">
        <v>11</v>
      </c>
      <c r="BO3" t="s">
        <v>9</v>
      </c>
      <c r="BP3" s="11">
        <v>4.2930000000000001</v>
      </c>
      <c r="BQ3" s="11">
        <v>2.496</v>
      </c>
      <c r="BR3" s="11">
        <v>0.7</v>
      </c>
      <c r="BS3" s="11">
        <v>10.3</v>
      </c>
      <c r="BU3" t="s">
        <v>9</v>
      </c>
      <c r="BV3" s="11">
        <v>9.2620000000000005</v>
      </c>
      <c r="BW3" s="11">
        <v>3.476</v>
      </c>
      <c r="BX3" s="11">
        <v>3.8</v>
      </c>
      <c r="BY3" s="11">
        <v>17.100000000000001</v>
      </c>
    </row>
    <row r="4" spans="1:77" x14ac:dyDescent="0.25">
      <c r="A4" s="7" t="s">
        <v>10</v>
      </c>
      <c r="B4" s="11">
        <v>56.304615819720063</v>
      </c>
      <c r="C4" s="11">
        <v>2.1481610054673386</v>
      </c>
      <c r="D4" s="11">
        <v>52.094220249004081</v>
      </c>
      <c r="E4" s="11">
        <v>60.515011390436044</v>
      </c>
      <c r="G4" s="7" t="s">
        <v>10</v>
      </c>
      <c r="H4" s="11">
        <v>90.777000000000001</v>
      </c>
      <c r="I4" s="11">
        <v>7.8789999999999996</v>
      </c>
      <c r="J4" s="11">
        <v>73.599999999999994</v>
      </c>
      <c r="K4" s="11">
        <v>99.9</v>
      </c>
      <c r="M4" s="7" t="s">
        <v>10</v>
      </c>
      <c r="N4" s="11">
        <v>89.182000000000002</v>
      </c>
      <c r="O4" s="11">
        <v>6.9939999999999998</v>
      </c>
      <c r="P4" s="11">
        <v>73.8</v>
      </c>
      <c r="Q4" s="11">
        <v>99.3</v>
      </c>
      <c r="S4" s="7" t="s">
        <v>10</v>
      </c>
      <c r="T4" s="11">
        <v>73.185000000000002</v>
      </c>
      <c r="U4" s="11">
        <v>6.3440000000000003</v>
      </c>
      <c r="V4" s="11">
        <v>61.1</v>
      </c>
      <c r="W4" s="11">
        <v>86.3</v>
      </c>
      <c r="Y4" s="7" t="s">
        <v>10</v>
      </c>
      <c r="Z4" s="11">
        <v>81.965999999999994</v>
      </c>
      <c r="AA4" s="11">
        <v>5.96</v>
      </c>
      <c r="AB4" s="11">
        <v>68.298000000000002</v>
      </c>
      <c r="AC4" s="11">
        <v>90.5</v>
      </c>
      <c r="AE4" s="7" t="s">
        <v>10</v>
      </c>
      <c r="AF4" s="11">
        <v>55.628999999999998</v>
      </c>
      <c r="AG4" s="11">
        <v>5.8449999999999998</v>
      </c>
      <c r="AH4" s="11">
        <v>44.4</v>
      </c>
      <c r="AI4" s="11">
        <v>67.099999999999994</v>
      </c>
      <c r="AK4" s="7" t="s">
        <v>10</v>
      </c>
      <c r="AL4" s="11">
        <v>77.881</v>
      </c>
      <c r="AM4" s="11">
        <v>5.6289999999999996</v>
      </c>
      <c r="AN4" s="11">
        <v>66.400000000000006</v>
      </c>
      <c r="AO4" s="11">
        <v>88.5</v>
      </c>
      <c r="AQ4" s="7" t="s">
        <v>10</v>
      </c>
      <c r="AR4" s="11">
        <v>36.588999999999999</v>
      </c>
      <c r="AS4" s="11">
        <v>4.6459999999999999</v>
      </c>
      <c r="AT4" s="11">
        <v>26.7</v>
      </c>
      <c r="AU4" s="11">
        <v>45</v>
      </c>
      <c r="AW4" s="7" t="s">
        <v>10</v>
      </c>
      <c r="AX4" s="11">
        <v>14.664999999999999</v>
      </c>
      <c r="AY4" s="11">
        <v>3.9220000000000002</v>
      </c>
      <c r="AZ4" s="11">
        <v>7.7</v>
      </c>
      <c r="BA4" s="11">
        <v>22.9</v>
      </c>
      <c r="BC4" s="7" t="s">
        <v>10</v>
      </c>
      <c r="BD4" s="11">
        <v>5.694</v>
      </c>
      <c r="BE4" s="11">
        <v>1.8520000000000001</v>
      </c>
      <c r="BF4" s="11">
        <v>2.4</v>
      </c>
      <c r="BG4" s="11">
        <v>9.6</v>
      </c>
      <c r="BI4" s="7" t="s">
        <v>10</v>
      </c>
      <c r="BJ4" s="11">
        <v>1.9710000000000001</v>
      </c>
      <c r="BK4" s="11">
        <v>1.175</v>
      </c>
      <c r="BL4" s="11">
        <v>0.1</v>
      </c>
      <c r="BM4" s="11">
        <v>4.7</v>
      </c>
      <c r="BO4" s="7" t="s">
        <v>10</v>
      </c>
      <c r="BP4" s="11">
        <v>1.9390000000000001</v>
      </c>
      <c r="BQ4" s="11">
        <v>1.198</v>
      </c>
      <c r="BR4" s="11">
        <v>0.1</v>
      </c>
      <c r="BS4" s="11">
        <v>4.7</v>
      </c>
      <c r="BU4" s="7" t="s">
        <v>10</v>
      </c>
      <c r="BV4" s="11">
        <v>5.609</v>
      </c>
      <c r="BW4" s="11">
        <v>2.117</v>
      </c>
      <c r="BX4" s="11">
        <v>2.2000000000000002</v>
      </c>
      <c r="BY4" s="11">
        <v>10.4</v>
      </c>
    </row>
    <row r="5" spans="1:77" x14ac:dyDescent="0.25">
      <c r="A5" s="7" t="s">
        <v>101</v>
      </c>
      <c r="B5" s="11">
        <v>19.142869890054197</v>
      </c>
      <c r="C5" s="11">
        <v>2.1770844013585129</v>
      </c>
      <c r="D5" s="11">
        <v>14.875784463391511</v>
      </c>
      <c r="E5" s="11">
        <v>23.409955316716882</v>
      </c>
      <c r="G5" s="7" t="s">
        <v>101</v>
      </c>
      <c r="H5" s="11">
        <v>8.5220000000000002</v>
      </c>
      <c r="I5" s="11">
        <v>7.8479999999999999</v>
      </c>
      <c r="J5" s="11">
        <v>0</v>
      </c>
      <c r="K5" s="11">
        <v>25.9</v>
      </c>
      <c r="M5" s="7" t="s">
        <v>101</v>
      </c>
      <c r="N5" s="11">
        <v>9.9030000000000005</v>
      </c>
      <c r="O5" s="11">
        <v>7.1189999999999998</v>
      </c>
      <c r="P5" s="11">
        <v>0</v>
      </c>
      <c r="Q5" s="11">
        <v>25.6</v>
      </c>
      <c r="S5" s="7" t="s">
        <v>101</v>
      </c>
      <c r="T5" s="11">
        <v>26.411000000000001</v>
      </c>
      <c r="U5" s="11">
        <v>6.3520000000000003</v>
      </c>
      <c r="V5" s="11">
        <v>13.2</v>
      </c>
      <c r="W5" s="11">
        <v>38.4</v>
      </c>
      <c r="Y5" s="7" t="s">
        <v>101</v>
      </c>
      <c r="Z5" s="11">
        <v>16.949000000000002</v>
      </c>
      <c r="AA5" s="11">
        <v>5.9550000000000001</v>
      </c>
      <c r="AB5" s="11">
        <v>8.1999999999999993</v>
      </c>
      <c r="AC5" s="11">
        <v>30.8</v>
      </c>
      <c r="AE5" s="7" t="s">
        <v>101</v>
      </c>
      <c r="AF5" s="11">
        <v>43.398000000000003</v>
      </c>
      <c r="AG5" s="11">
        <v>5.883</v>
      </c>
      <c r="AH5" s="11">
        <v>32</v>
      </c>
      <c r="AI5" s="11">
        <v>54.7</v>
      </c>
      <c r="AK5" s="7" t="s">
        <v>101</v>
      </c>
      <c r="AL5" s="11">
        <v>20.515999999999998</v>
      </c>
      <c r="AM5" s="11">
        <v>5.6829999999999998</v>
      </c>
      <c r="AN5" s="11">
        <v>9.6999999999999993</v>
      </c>
      <c r="AO5" s="11">
        <v>32</v>
      </c>
      <c r="AQ5" s="7" t="s">
        <v>101</v>
      </c>
      <c r="AR5" s="11">
        <v>31.550999999999998</v>
      </c>
      <c r="AS5" s="11">
        <v>5.5750000000000002</v>
      </c>
      <c r="AT5" s="11">
        <v>21.5</v>
      </c>
      <c r="AU5" s="11">
        <v>43.8</v>
      </c>
      <c r="AW5" s="7" t="s">
        <v>101</v>
      </c>
      <c r="AX5" s="11">
        <v>10.189</v>
      </c>
      <c r="AY5" s="11">
        <v>4.4820000000000002</v>
      </c>
      <c r="AZ5" s="11">
        <v>1.8</v>
      </c>
      <c r="BA5" s="11">
        <v>19.100000000000001</v>
      </c>
      <c r="BC5" s="7" t="s">
        <v>101</v>
      </c>
      <c r="BD5" s="11">
        <v>5.7279999999999998</v>
      </c>
      <c r="BE5" s="11">
        <v>2.7349999999999999</v>
      </c>
      <c r="BF5" s="11">
        <v>1</v>
      </c>
      <c r="BG5" s="11">
        <v>11.6</v>
      </c>
      <c r="BI5" s="7" t="s">
        <v>101</v>
      </c>
      <c r="BJ5" s="11">
        <v>2.964</v>
      </c>
      <c r="BK5" s="11">
        <v>2.577</v>
      </c>
      <c r="BL5" s="11">
        <v>0</v>
      </c>
      <c r="BM5" s="11">
        <v>9</v>
      </c>
      <c r="BO5" s="7" t="s">
        <v>101</v>
      </c>
      <c r="BP5" s="11">
        <v>2.35</v>
      </c>
      <c r="BQ5" s="11">
        <v>2.3319999999999999</v>
      </c>
      <c r="BR5" s="11">
        <v>0</v>
      </c>
      <c r="BS5" s="11">
        <v>8.1</v>
      </c>
      <c r="BU5" s="7" t="s">
        <v>101</v>
      </c>
      <c r="BV5" s="11">
        <v>3.649</v>
      </c>
      <c r="BW5" s="11">
        <v>3.2280000000000002</v>
      </c>
      <c r="BX5" s="11">
        <v>0</v>
      </c>
      <c r="BY5" s="11">
        <v>11.4</v>
      </c>
    </row>
    <row r="6" spans="1:77" x14ac:dyDescent="0.25">
      <c r="A6" s="9" t="s">
        <v>126</v>
      </c>
      <c r="B6" s="11">
        <v>14.699976995204491</v>
      </c>
      <c r="C6" s="11">
        <v>2.2989298324230441</v>
      </c>
      <c r="D6" s="11">
        <v>10.194074523655324</v>
      </c>
      <c r="E6" s="11">
        <v>19.205879466753657</v>
      </c>
      <c r="G6" s="9" t="s">
        <v>126</v>
      </c>
      <c r="H6" s="11">
        <v>8.43</v>
      </c>
      <c r="I6" s="11">
        <v>7.8579999999999997</v>
      </c>
      <c r="J6" s="11">
        <v>0</v>
      </c>
      <c r="K6" s="11">
        <v>25.8</v>
      </c>
      <c r="M6" s="9" t="s">
        <v>126</v>
      </c>
      <c r="N6" s="11">
        <v>9.8179999999999996</v>
      </c>
      <c r="O6" s="11">
        <v>7.1239999999999997</v>
      </c>
      <c r="P6" s="11">
        <v>0</v>
      </c>
      <c r="Q6" s="11">
        <v>25.5</v>
      </c>
      <c r="S6" s="9" t="s">
        <v>126</v>
      </c>
      <c r="T6" s="11">
        <v>25.523</v>
      </c>
      <c r="U6" s="11">
        <v>6.7320000000000002</v>
      </c>
      <c r="V6" s="11">
        <v>11.3</v>
      </c>
      <c r="W6" s="11">
        <v>38</v>
      </c>
      <c r="Y6" s="9" t="s">
        <v>126</v>
      </c>
      <c r="Z6" s="11">
        <v>8.8030000000000008</v>
      </c>
      <c r="AA6" s="11">
        <v>6.2389999999999999</v>
      </c>
      <c r="AB6" s="11">
        <v>0</v>
      </c>
      <c r="AC6" s="11">
        <v>23.6</v>
      </c>
      <c r="AE6" s="9" t="s">
        <v>126</v>
      </c>
      <c r="AF6" s="11">
        <v>31.809000000000001</v>
      </c>
      <c r="AG6" s="11">
        <v>6.625</v>
      </c>
      <c r="AH6" s="11">
        <v>18.8</v>
      </c>
      <c r="AI6" s="11">
        <v>44.6</v>
      </c>
      <c r="AK6" s="9" t="s">
        <v>126</v>
      </c>
      <c r="AL6" s="11">
        <v>11.500999999999999</v>
      </c>
      <c r="AM6" s="11">
        <v>6.194</v>
      </c>
      <c r="AN6" s="11">
        <v>0</v>
      </c>
      <c r="AO6" s="11">
        <v>24.7</v>
      </c>
      <c r="AQ6" s="9" t="s">
        <v>126</v>
      </c>
      <c r="AR6" s="11">
        <v>13.182</v>
      </c>
      <c r="AS6" s="11">
        <v>6.8819999999999997</v>
      </c>
      <c r="AT6" s="11">
        <v>0.1</v>
      </c>
      <c r="AU6" s="11">
        <v>27.8</v>
      </c>
      <c r="AW6" s="9" t="s">
        <v>126</v>
      </c>
      <c r="AX6" s="11">
        <v>8.1890000000000001</v>
      </c>
      <c r="AY6" s="11">
        <v>4.5179999999999998</v>
      </c>
      <c r="AZ6" s="11">
        <v>0</v>
      </c>
      <c r="BA6" s="11">
        <v>16.899999999999999</v>
      </c>
      <c r="BC6" s="9" t="s">
        <v>126</v>
      </c>
      <c r="BD6" s="11">
        <v>1.351</v>
      </c>
      <c r="BE6" s="11">
        <v>1.879</v>
      </c>
      <c r="BF6" s="11">
        <v>0</v>
      </c>
      <c r="BG6" s="11">
        <v>6.4</v>
      </c>
      <c r="BI6" s="9" t="s">
        <v>126</v>
      </c>
      <c r="BJ6" s="11">
        <v>2.633</v>
      </c>
      <c r="BK6" s="11">
        <v>2.5310000000000001</v>
      </c>
      <c r="BL6" s="11">
        <v>0</v>
      </c>
      <c r="BM6" s="11">
        <v>8.6</v>
      </c>
      <c r="BO6" s="9" t="s">
        <v>126</v>
      </c>
      <c r="BP6" s="11">
        <v>1.8520000000000001</v>
      </c>
      <c r="BQ6" s="11">
        <v>2.278</v>
      </c>
      <c r="BR6" s="11">
        <v>0</v>
      </c>
      <c r="BS6" s="11">
        <v>7.8</v>
      </c>
      <c r="BU6" s="9" t="s">
        <v>126</v>
      </c>
      <c r="BV6" s="11">
        <v>3.105</v>
      </c>
      <c r="BW6" s="11">
        <v>3.2189999999999999</v>
      </c>
      <c r="BX6" s="11">
        <v>0</v>
      </c>
      <c r="BY6" s="11">
        <v>11</v>
      </c>
    </row>
    <row r="7" spans="1:77" x14ac:dyDescent="0.25">
      <c r="A7" s="9" t="s">
        <v>103</v>
      </c>
      <c r="B7" s="11">
        <v>4.4348512152520572</v>
      </c>
      <c r="C7" s="11">
        <v>0.83881147190068439</v>
      </c>
      <c r="D7" s="11">
        <v>2.7907807303267158</v>
      </c>
      <c r="E7" s="11">
        <v>6.0789217001773981</v>
      </c>
      <c r="G7" s="9" t="s">
        <v>103</v>
      </c>
      <c r="H7" s="11">
        <v>9.6000000000000002E-2</v>
      </c>
      <c r="I7" s="11">
        <v>0.35599999999999998</v>
      </c>
      <c r="J7" s="11">
        <v>0</v>
      </c>
      <c r="K7" s="11">
        <v>1</v>
      </c>
      <c r="M7" s="9" t="s">
        <v>103</v>
      </c>
      <c r="N7" s="11">
        <v>8.7999999999999995E-2</v>
      </c>
      <c r="O7" s="11">
        <v>0.31</v>
      </c>
      <c r="P7" s="11">
        <v>0</v>
      </c>
      <c r="Q7" s="11">
        <v>0.9</v>
      </c>
      <c r="S7" s="9" t="s">
        <v>103</v>
      </c>
      <c r="T7" s="11">
        <v>0.874</v>
      </c>
      <c r="U7" s="11">
        <v>1.6919999999999999</v>
      </c>
      <c r="V7" s="11">
        <v>0</v>
      </c>
      <c r="W7" s="11">
        <v>6</v>
      </c>
      <c r="Y7" s="9" t="s">
        <v>103</v>
      </c>
      <c r="Z7" s="11">
        <v>8.1289999999999996</v>
      </c>
      <c r="AA7" s="11">
        <v>2.8090000000000002</v>
      </c>
      <c r="AB7" s="11">
        <v>3</v>
      </c>
      <c r="AC7" s="11">
        <v>14.1</v>
      </c>
      <c r="AE7" s="9" t="s">
        <v>103</v>
      </c>
      <c r="AF7" s="11">
        <v>11.561</v>
      </c>
      <c r="AG7" s="11">
        <v>3.722</v>
      </c>
      <c r="AH7" s="11">
        <v>4.7</v>
      </c>
      <c r="AI7" s="11">
        <v>19.2</v>
      </c>
      <c r="AK7" s="9" t="s">
        <v>103</v>
      </c>
      <c r="AL7" s="11">
        <v>9.0009999999999994</v>
      </c>
      <c r="AM7" s="11">
        <v>3.1179999999999999</v>
      </c>
      <c r="AN7" s="11">
        <v>3.3</v>
      </c>
      <c r="AO7" s="11">
        <v>15.5</v>
      </c>
      <c r="AQ7" s="9" t="s">
        <v>103</v>
      </c>
      <c r="AR7" s="11">
        <v>18.366</v>
      </c>
      <c r="AS7" s="11">
        <v>4.6840000000000002</v>
      </c>
      <c r="AT7" s="11">
        <v>9.6999999999999993</v>
      </c>
      <c r="AU7" s="11">
        <v>27.9</v>
      </c>
      <c r="AW7" s="9" t="s">
        <v>103</v>
      </c>
      <c r="AX7" s="11">
        <v>2.0030000000000001</v>
      </c>
      <c r="AY7" s="11">
        <v>2.355</v>
      </c>
      <c r="AZ7" s="11">
        <v>0</v>
      </c>
      <c r="BA7" s="11">
        <v>7.8</v>
      </c>
      <c r="BC7" s="9" t="s">
        <v>103</v>
      </c>
      <c r="BD7" s="11">
        <v>4.3810000000000002</v>
      </c>
      <c r="BE7" s="11">
        <v>2.3959999999999999</v>
      </c>
      <c r="BF7" s="11">
        <v>0</v>
      </c>
      <c r="BG7" s="11">
        <v>9.4</v>
      </c>
      <c r="BI7" s="9" t="s">
        <v>103</v>
      </c>
      <c r="BJ7" s="11">
        <v>0.34200000000000003</v>
      </c>
      <c r="BK7" s="11">
        <v>0.95399999999999996</v>
      </c>
      <c r="BL7" s="11">
        <v>0</v>
      </c>
      <c r="BM7" s="11">
        <v>3.6</v>
      </c>
      <c r="BO7" s="9" t="s">
        <v>103</v>
      </c>
      <c r="BP7" s="11">
        <v>0.50800000000000001</v>
      </c>
      <c r="BQ7" s="11">
        <v>1.111</v>
      </c>
      <c r="BR7" s="11">
        <v>0</v>
      </c>
      <c r="BS7" s="11">
        <v>3.9</v>
      </c>
      <c r="BU7" s="9" t="s">
        <v>103</v>
      </c>
      <c r="BV7" s="11">
        <v>0.55300000000000005</v>
      </c>
      <c r="BW7" s="11">
        <v>1.399</v>
      </c>
      <c r="BX7" s="11">
        <v>0</v>
      </c>
      <c r="BY7" s="11">
        <v>5.1020000000000003</v>
      </c>
    </row>
    <row r="8" spans="1:77" x14ac:dyDescent="0.25">
      <c r="A8" t="s">
        <v>11</v>
      </c>
      <c r="B8" s="11">
        <v>24.520632668330151</v>
      </c>
      <c r="C8" s="11">
        <v>0.47997171930426058</v>
      </c>
      <c r="D8" s="11">
        <v>23.5798880984938</v>
      </c>
      <c r="E8" s="11">
        <v>25.461377238166502</v>
      </c>
      <c r="G8" t="s">
        <v>11</v>
      </c>
      <c r="H8" s="11">
        <v>0.63700000000000001</v>
      </c>
      <c r="I8" s="11">
        <v>0.79200000000000004</v>
      </c>
      <c r="J8" s="11">
        <v>0</v>
      </c>
      <c r="K8" s="11">
        <v>2.8</v>
      </c>
      <c r="M8" t="s">
        <v>11</v>
      </c>
      <c r="N8" s="11">
        <v>0.85699999999999998</v>
      </c>
      <c r="O8" s="11">
        <v>1.018</v>
      </c>
      <c r="P8" s="11">
        <v>0</v>
      </c>
      <c r="Q8" s="11">
        <v>3.7</v>
      </c>
      <c r="S8" t="s">
        <v>11</v>
      </c>
      <c r="T8" s="11">
        <v>0.35399999999999998</v>
      </c>
      <c r="U8" s="11">
        <v>0.51200000000000001</v>
      </c>
      <c r="V8" s="11">
        <v>0</v>
      </c>
      <c r="W8" s="11">
        <v>1.8</v>
      </c>
      <c r="Y8" t="s">
        <v>11</v>
      </c>
      <c r="Z8" s="11">
        <v>1.0509999999999999</v>
      </c>
      <c r="AA8" s="11">
        <v>1.1259999999999999</v>
      </c>
      <c r="AB8" s="11">
        <v>0</v>
      </c>
      <c r="AC8" s="11">
        <v>4</v>
      </c>
      <c r="AE8" t="s">
        <v>11</v>
      </c>
      <c r="AF8" s="11">
        <v>0.94499999999999995</v>
      </c>
      <c r="AG8" s="11">
        <v>1.077</v>
      </c>
      <c r="AH8" s="11">
        <v>0</v>
      </c>
      <c r="AI8" s="11">
        <v>3.9020000000000001</v>
      </c>
      <c r="AK8" t="s">
        <v>11</v>
      </c>
      <c r="AL8" s="11">
        <v>1.5720000000000001</v>
      </c>
      <c r="AM8" s="11">
        <v>1.2969999999999999</v>
      </c>
      <c r="AN8" s="11">
        <v>0</v>
      </c>
      <c r="AO8" s="11">
        <v>4.8</v>
      </c>
      <c r="AQ8" t="s">
        <v>11</v>
      </c>
      <c r="AR8" s="11">
        <v>31.858000000000001</v>
      </c>
      <c r="AS8" s="11">
        <v>4.1680000000000001</v>
      </c>
      <c r="AT8" s="11">
        <v>23.9</v>
      </c>
      <c r="AU8" s="11">
        <v>40.101999999999997</v>
      </c>
      <c r="AW8" t="s">
        <v>11</v>
      </c>
      <c r="AX8" s="11">
        <v>75.14</v>
      </c>
      <c r="AY8" s="11">
        <v>3.4089999999999998</v>
      </c>
      <c r="AZ8" s="11">
        <v>68.099999999999994</v>
      </c>
      <c r="BA8" s="11">
        <v>81.5</v>
      </c>
      <c r="BC8" t="s">
        <v>11</v>
      </c>
      <c r="BD8" s="11">
        <v>88.57</v>
      </c>
      <c r="BE8" s="11">
        <v>2.8370000000000002</v>
      </c>
      <c r="BF8" s="11">
        <v>82.5</v>
      </c>
      <c r="BG8" s="11">
        <v>93.8</v>
      </c>
      <c r="BI8" t="s">
        <v>11</v>
      </c>
      <c r="BJ8" s="11">
        <v>95.06</v>
      </c>
      <c r="BK8" s="11">
        <v>2.637</v>
      </c>
      <c r="BL8" s="11">
        <v>89</v>
      </c>
      <c r="BM8" s="11">
        <v>98.9</v>
      </c>
      <c r="BO8" t="s">
        <v>11</v>
      </c>
      <c r="BP8" s="11">
        <v>95.706999999999994</v>
      </c>
      <c r="BQ8" s="11">
        <v>2.496</v>
      </c>
      <c r="BR8" s="11">
        <v>89.7</v>
      </c>
      <c r="BS8" s="11">
        <v>99.3</v>
      </c>
      <c r="BU8" t="s">
        <v>11</v>
      </c>
      <c r="BV8" s="11">
        <v>90.738</v>
      </c>
      <c r="BW8" s="11">
        <v>3.4769999999999999</v>
      </c>
      <c r="BX8" s="11">
        <v>82.9</v>
      </c>
      <c r="BY8" s="11">
        <v>96.2</v>
      </c>
    </row>
    <row r="9" spans="1:77" x14ac:dyDescent="0.25">
      <c r="A9" s="7" t="s">
        <v>103</v>
      </c>
      <c r="B9" s="11">
        <v>7.6266844403290577</v>
      </c>
      <c r="C9" s="11">
        <v>0.53544056665485751</v>
      </c>
      <c r="D9" s="11">
        <v>6.5772209296855371</v>
      </c>
      <c r="E9" s="11">
        <v>8.6761479509725774</v>
      </c>
      <c r="G9" s="7" t="s">
        <v>103</v>
      </c>
      <c r="H9" s="11">
        <v>0.16700000000000001</v>
      </c>
      <c r="I9" s="11">
        <v>0.38500000000000001</v>
      </c>
      <c r="J9" s="11">
        <v>0</v>
      </c>
      <c r="K9" s="11">
        <v>1.3</v>
      </c>
      <c r="M9" s="7" t="s">
        <v>103</v>
      </c>
      <c r="N9" s="11">
        <v>0.31</v>
      </c>
      <c r="O9" s="11">
        <v>0.53700000000000003</v>
      </c>
      <c r="P9" s="11">
        <v>0</v>
      </c>
      <c r="Q9" s="11">
        <v>1.9</v>
      </c>
      <c r="S9" s="7" t="s">
        <v>103</v>
      </c>
      <c r="T9" s="11">
        <v>0.13100000000000001</v>
      </c>
      <c r="U9" s="11">
        <v>0.29799999999999999</v>
      </c>
      <c r="V9" s="11">
        <v>0</v>
      </c>
      <c r="W9" s="11">
        <v>1</v>
      </c>
      <c r="Y9" s="7" t="s">
        <v>103</v>
      </c>
      <c r="Z9" s="11">
        <v>0.30599999999999999</v>
      </c>
      <c r="AA9" s="11">
        <v>0.57599999999999996</v>
      </c>
      <c r="AB9" s="11">
        <v>0</v>
      </c>
      <c r="AC9" s="11">
        <v>2.1</v>
      </c>
      <c r="AE9" s="7" t="s">
        <v>103</v>
      </c>
      <c r="AF9" s="11">
        <v>0.35099999999999998</v>
      </c>
      <c r="AG9" s="11">
        <v>0.70199999999999996</v>
      </c>
      <c r="AH9" s="11">
        <v>0</v>
      </c>
      <c r="AI9" s="11">
        <v>2.5</v>
      </c>
      <c r="AK9" s="7" t="s">
        <v>103</v>
      </c>
      <c r="AL9" s="11">
        <v>0.62</v>
      </c>
      <c r="AM9" s="11">
        <v>0.97499999999999998</v>
      </c>
      <c r="AN9" s="11">
        <v>0</v>
      </c>
      <c r="AO9" s="11">
        <v>3.4</v>
      </c>
      <c r="AQ9" s="7" t="s">
        <v>103</v>
      </c>
      <c r="AR9" s="11">
        <v>0.61299999999999999</v>
      </c>
      <c r="AS9" s="11">
        <v>1.1599999999999999</v>
      </c>
      <c r="AT9" s="11">
        <v>0</v>
      </c>
      <c r="AU9" s="11">
        <v>4.2</v>
      </c>
      <c r="AW9" s="7" t="s">
        <v>103</v>
      </c>
      <c r="AX9" s="11">
        <v>4.7370000000000001</v>
      </c>
      <c r="AY9" s="11">
        <v>2.5</v>
      </c>
      <c r="AZ9" s="11">
        <v>0.5</v>
      </c>
      <c r="BA9" s="11">
        <v>10.199999999999999</v>
      </c>
      <c r="BC9" s="7" t="s">
        <v>103</v>
      </c>
      <c r="BD9" s="11">
        <v>12.166</v>
      </c>
      <c r="BE9" s="11">
        <v>2.97</v>
      </c>
      <c r="BF9" s="11">
        <v>6.8</v>
      </c>
      <c r="BG9" s="11">
        <v>18.399999999999999</v>
      </c>
      <c r="BI9" s="7" t="s">
        <v>103</v>
      </c>
      <c r="BJ9" s="11">
        <v>31.666</v>
      </c>
      <c r="BK9" s="11">
        <v>3.93</v>
      </c>
      <c r="BL9" s="11">
        <v>24.2</v>
      </c>
      <c r="BM9" s="11">
        <v>39.6</v>
      </c>
      <c r="BO9" s="7" t="s">
        <v>103</v>
      </c>
      <c r="BP9" s="11">
        <v>39.091999999999999</v>
      </c>
      <c r="BQ9" s="11">
        <v>4.0910000000000002</v>
      </c>
      <c r="BR9" s="11">
        <v>31.1</v>
      </c>
      <c r="BS9" s="11">
        <v>47.101999999999997</v>
      </c>
      <c r="BU9" s="7" t="s">
        <v>103</v>
      </c>
      <c r="BV9" s="11">
        <v>56.345999999999997</v>
      </c>
      <c r="BW9" s="11">
        <v>4.8609999999999998</v>
      </c>
      <c r="BX9" s="11">
        <v>46.8</v>
      </c>
      <c r="BY9" s="11">
        <v>65.900000000000006</v>
      </c>
    </row>
    <row r="10" spans="1:77" x14ac:dyDescent="0.25">
      <c r="A10" s="7" t="s">
        <v>38</v>
      </c>
      <c r="B10" s="11">
        <v>8.8084676626769074</v>
      </c>
      <c r="C10" s="11">
        <v>0.67181207693458278</v>
      </c>
      <c r="D10" s="11">
        <v>7.4917159918851253</v>
      </c>
      <c r="E10" s="11">
        <v>10.125219333468689</v>
      </c>
      <c r="G10" s="7" t="s">
        <v>38</v>
      </c>
      <c r="H10" s="11">
        <v>0.13800000000000001</v>
      </c>
      <c r="I10" s="11">
        <v>0.35</v>
      </c>
      <c r="J10" s="11">
        <v>0</v>
      </c>
      <c r="K10" s="11">
        <v>1.2</v>
      </c>
      <c r="M10" s="7" t="s">
        <v>38</v>
      </c>
      <c r="N10" s="11">
        <v>0.33</v>
      </c>
      <c r="O10" s="11">
        <v>0.77400000000000002</v>
      </c>
      <c r="P10" s="11">
        <v>0</v>
      </c>
      <c r="Q10" s="11">
        <v>2.9</v>
      </c>
      <c r="S10" s="7" t="s">
        <v>38</v>
      </c>
      <c r="T10" s="11">
        <v>0.14499999999999999</v>
      </c>
      <c r="U10" s="11">
        <v>0.35</v>
      </c>
      <c r="V10" s="11">
        <v>0</v>
      </c>
      <c r="W10" s="11">
        <v>1.3</v>
      </c>
      <c r="Y10" s="7" t="s">
        <v>38</v>
      </c>
      <c r="Z10" s="11">
        <v>0.33100000000000002</v>
      </c>
      <c r="AA10" s="11">
        <v>0.74</v>
      </c>
      <c r="AB10" s="11">
        <v>0</v>
      </c>
      <c r="AC10" s="11">
        <v>2.6</v>
      </c>
      <c r="AE10" s="7" t="s">
        <v>38</v>
      </c>
      <c r="AF10" s="11">
        <v>0.32300000000000001</v>
      </c>
      <c r="AG10" s="11">
        <v>0.69499999999999995</v>
      </c>
      <c r="AH10" s="11">
        <v>0</v>
      </c>
      <c r="AI10" s="11">
        <v>2.5</v>
      </c>
      <c r="AK10" s="7" t="s">
        <v>38</v>
      </c>
      <c r="AL10" s="11">
        <v>0.41499999999999998</v>
      </c>
      <c r="AM10" s="11">
        <v>0.81599999999999995</v>
      </c>
      <c r="AN10" s="11">
        <v>0</v>
      </c>
      <c r="AO10" s="11">
        <v>2.8</v>
      </c>
      <c r="AQ10" s="7" t="s">
        <v>38</v>
      </c>
      <c r="AR10" s="11">
        <v>17.433</v>
      </c>
      <c r="AS10" s="11">
        <v>5.0940000000000003</v>
      </c>
      <c r="AT10" s="11">
        <v>8.298</v>
      </c>
      <c r="AU10" s="11">
        <v>28</v>
      </c>
      <c r="AW10" s="7" t="s">
        <v>38</v>
      </c>
      <c r="AX10" s="11">
        <v>47.929000000000002</v>
      </c>
      <c r="AY10" s="11">
        <v>5.1379999999999999</v>
      </c>
      <c r="AZ10" s="11">
        <v>37.700000000000003</v>
      </c>
      <c r="BA10" s="11">
        <v>57.7</v>
      </c>
      <c r="BC10" s="7" t="s">
        <v>38</v>
      </c>
      <c r="BD10" s="11">
        <v>36.042999999999999</v>
      </c>
      <c r="BE10" s="11">
        <v>5.1390000000000002</v>
      </c>
      <c r="BF10" s="11">
        <v>26</v>
      </c>
      <c r="BG10" s="11">
        <v>46.1</v>
      </c>
      <c r="BI10" s="7" t="s">
        <v>38</v>
      </c>
      <c r="BJ10" s="11">
        <v>25.7</v>
      </c>
      <c r="BK10" s="11">
        <v>4.7110000000000003</v>
      </c>
      <c r="BL10" s="11">
        <v>16.8</v>
      </c>
      <c r="BM10" s="11">
        <v>35.200000000000003</v>
      </c>
      <c r="BO10" s="7" t="s">
        <v>38</v>
      </c>
      <c r="BP10" s="11">
        <v>29.225999999999999</v>
      </c>
      <c r="BQ10" s="11">
        <v>4.6349999999999998</v>
      </c>
      <c r="BR10" s="11">
        <v>20.2</v>
      </c>
      <c r="BS10" s="11">
        <v>38.4</v>
      </c>
      <c r="BU10" s="7" t="s">
        <v>38</v>
      </c>
      <c r="BV10" s="11">
        <v>18.282</v>
      </c>
      <c r="BW10" s="11">
        <v>4.657</v>
      </c>
      <c r="BX10" s="11">
        <v>9.1999999999999993</v>
      </c>
      <c r="BY10" s="11">
        <v>27.5</v>
      </c>
    </row>
    <row r="11" spans="1:77" x14ac:dyDescent="0.25">
      <c r="A11" s="7" t="s">
        <v>104</v>
      </c>
      <c r="B11" s="11">
        <v>3.4042144079691221</v>
      </c>
      <c r="C11" s="11">
        <v>0.53355172071616175</v>
      </c>
      <c r="D11" s="11">
        <v>2.3584530353654451</v>
      </c>
      <c r="E11" s="11">
        <v>4.4499757805727995</v>
      </c>
      <c r="G11" s="7" t="s">
        <v>104</v>
      </c>
      <c r="H11" s="11">
        <v>0.18099999999999999</v>
      </c>
      <c r="I11" s="11">
        <v>0.42599999999999999</v>
      </c>
      <c r="J11" s="11">
        <v>0</v>
      </c>
      <c r="K11" s="11">
        <v>1.5</v>
      </c>
      <c r="M11" s="7" t="s">
        <v>104</v>
      </c>
      <c r="N11" s="11">
        <v>0.188</v>
      </c>
      <c r="O11" s="11">
        <v>0.41499999999999998</v>
      </c>
      <c r="P11" s="11">
        <v>0</v>
      </c>
      <c r="Q11" s="11">
        <v>1.4</v>
      </c>
      <c r="S11" s="7" t="s">
        <v>104</v>
      </c>
      <c r="T11" s="11">
        <v>8.3000000000000004E-2</v>
      </c>
      <c r="U11" s="11">
        <v>0.17899999999999999</v>
      </c>
      <c r="V11" s="11">
        <v>0</v>
      </c>
      <c r="W11" s="11">
        <v>0.6</v>
      </c>
      <c r="Y11" s="7" t="s">
        <v>104</v>
      </c>
      <c r="Z11" s="11">
        <v>0.39500000000000002</v>
      </c>
      <c r="AA11" s="11">
        <v>0.69499999999999995</v>
      </c>
      <c r="AB11" s="11">
        <v>0</v>
      </c>
      <c r="AC11" s="11">
        <v>2.6</v>
      </c>
      <c r="AE11" s="7" t="s">
        <v>104</v>
      </c>
      <c r="AF11" s="11">
        <v>0.26300000000000001</v>
      </c>
      <c r="AG11" s="11">
        <v>0.51600000000000001</v>
      </c>
      <c r="AH11" s="11">
        <v>0</v>
      </c>
      <c r="AI11" s="11">
        <v>1.8</v>
      </c>
      <c r="AK11" s="7" t="s">
        <v>104</v>
      </c>
      <c r="AL11" s="11">
        <v>0.40300000000000002</v>
      </c>
      <c r="AM11" s="11">
        <v>0.67800000000000005</v>
      </c>
      <c r="AN11" s="11">
        <v>0</v>
      </c>
      <c r="AO11" s="11">
        <v>2.4</v>
      </c>
      <c r="AQ11" s="7" t="s">
        <v>104</v>
      </c>
      <c r="AR11" s="11">
        <v>9.5210000000000008</v>
      </c>
      <c r="AS11" s="11">
        <v>3.7610000000000001</v>
      </c>
      <c r="AT11" s="11">
        <v>2.5</v>
      </c>
      <c r="AU11" s="11">
        <v>17.2</v>
      </c>
      <c r="AW11" s="7" t="s">
        <v>104</v>
      </c>
      <c r="AX11" s="11">
        <v>5.2329999999999997</v>
      </c>
      <c r="AY11" s="11">
        <v>4.1479999999999997</v>
      </c>
      <c r="AZ11" s="11">
        <v>0</v>
      </c>
      <c r="BA11" s="11">
        <v>14.2</v>
      </c>
      <c r="BC11" s="7" t="s">
        <v>104</v>
      </c>
      <c r="BD11" s="11">
        <v>18.757000000000001</v>
      </c>
      <c r="BE11" s="11">
        <v>4.4459999999999997</v>
      </c>
      <c r="BF11" s="11">
        <v>10.8</v>
      </c>
      <c r="BG11" s="11">
        <v>28.2</v>
      </c>
      <c r="BI11" s="7" t="s">
        <v>104</v>
      </c>
      <c r="BJ11" s="11">
        <v>17.978999999999999</v>
      </c>
      <c r="BK11" s="11">
        <v>4.3</v>
      </c>
      <c r="BL11" s="11">
        <v>9.8000000000000007</v>
      </c>
      <c r="BM11" s="11">
        <v>26.7</v>
      </c>
      <c r="BO11" s="7" t="s">
        <v>104</v>
      </c>
      <c r="BP11" s="11">
        <v>10.612</v>
      </c>
      <c r="BQ11" s="11">
        <v>3.5590000000000002</v>
      </c>
      <c r="BR11" s="11">
        <v>4.0999999999999996</v>
      </c>
      <c r="BS11" s="11">
        <v>18.3</v>
      </c>
      <c r="BU11" s="7" t="s">
        <v>104</v>
      </c>
      <c r="BV11" s="11">
        <v>2.0939999999999999</v>
      </c>
      <c r="BW11" s="11">
        <v>2.992</v>
      </c>
      <c r="BX11" s="11">
        <v>0</v>
      </c>
      <c r="BY11" s="11">
        <v>10.3</v>
      </c>
    </row>
    <row r="12" spans="1:77" x14ac:dyDescent="0.25">
      <c r="A12" s="9" t="s">
        <v>14</v>
      </c>
      <c r="B12" s="11">
        <v>0.16892621115832979</v>
      </c>
      <c r="C12" s="11">
        <v>0.2228427100303885</v>
      </c>
      <c r="D12" s="11">
        <v>0</v>
      </c>
      <c r="E12" s="11">
        <v>0.60569792281789125</v>
      </c>
      <c r="G12" s="9" t="s">
        <v>14</v>
      </c>
      <c r="H12" s="11">
        <v>4.2000000000000003E-2</v>
      </c>
      <c r="I12" s="11">
        <v>0.20300000000000001</v>
      </c>
      <c r="J12" s="11">
        <v>0</v>
      </c>
      <c r="K12" s="11">
        <v>0.4</v>
      </c>
      <c r="M12" s="9" t="s">
        <v>14</v>
      </c>
      <c r="N12" s="11">
        <v>5.6000000000000001E-2</v>
      </c>
      <c r="O12" s="11">
        <v>0.24</v>
      </c>
      <c r="P12" s="11">
        <v>0</v>
      </c>
      <c r="Q12" s="11">
        <v>0.7</v>
      </c>
      <c r="S12" s="9" t="s">
        <v>14</v>
      </c>
      <c r="T12" s="11">
        <v>2.1000000000000001E-2</v>
      </c>
      <c r="U12" s="11">
        <v>8.7999999999999995E-2</v>
      </c>
      <c r="V12" s="11">
        <v>0</v>
      </c>
      <c r="W12" s="11">
        <v>0.2</v>
      </c>
      <c r="Y12" s="9" t="s">
        <v>14</v>
      </c>
      <c r="Z12" s="11">
        <v>2.3E-2</v>
      </c>
      <c r="AA12" s="11">
        <v>0.10199999999999999</v>
      </c>
      <c r="AB12" s="11">
        <v>0</v>
      </c>
      <c r="AC12" s="11">
        <v>0.2</v>
      </c>
      <c r="AE12" s="9" t="s">
        <v>14</v>
      </c>
      <c r="AF12" s="11">
        <v>0.13500000000000001</v>
      </c>
      <c r="AG12" s="11">
        <v>0.39700000000000002</v>
      </c>
      <c r="AH12" s="11">
        <v>0</v>
      </c>
      <c r="AI12" s="11">
        <v>1.4</v>
      </c>
      <c r="AK12" s="9" t="s">
        <v>14</v>
      </c>
      <c r="AL12" s="11">
        <v>3.5999999999999997E-2</v>
      </c>
      <c r="AM12" s="11">
        <v>0.16900000000000001</v>
      </c>
      <c r="AN12" s="11">
        <v>0</v>
      </c>
      <c r="AO12" s="11">
        <v>0.4</v>
      </c>
      <c r="AQ12" s="9" t="s">
        <v>14</v>
      </c>
      <c r="AR12" s="11">
        <v>0.222</v>
      </c>
      <c r="AS12" s="11">
        <v>0.84899999999999998</v>
      </c>
      <c r="AT12" s="11">
        <v>0</v>
      </c>
      <c r="AU12" s="11">
        <v>2.8</v>
      </c>
      <c r="AW12" s="9" t="s">
        <v>14</v>
      </c>
      <c r="AX12" s="11">
        <v>0.38100000000000001</v>
      </c>
      <c r="AY12" s="11">
        <v>1.2949999999999999</v>
      </c>
      <c r="AZ12" s="11">
        <v>0</v>
      </c>
      <c r="BA12" s="11">
        <v>4.8</v>
      </c>
      <c r="BC12" s="9" t="s">
        <v>14</v>
      </c>
      <c r="BD12" s="11">
        <v>1.089</v>
      </c>
      <c r="BE12" s="11">
        <v>2.4830000000000001</v>
      </c>
      <c r="BF12" s="11">
        <v>0</v>
      </c>
      <c r="BG12" s="11">
        <v>9</v>
      </c>
      <c r="BI12" s="9" t="s">
        <v>14</v>
      </c>
      <c r="BJ12" s="11">
        <v>6.4000000000000001E-2</v>
      </c>
      <c r="BK12" s="11">
        <v>0.34799999999999998</v>
      </c>
      <c r="BL12" s="11">
        <v>0</v>
      </c>
      <c r="BM12" s="11">
        <v>0.7</v>
      </c>
      <c r="BO12" s="9" t="s">
        <v>14</v>
      </c>
      <c r="BP12" s="11">
        <v>0.60799999999999998</v>
      </c>
      <c r="BQ12" s="11">
        <v>1.724</v>
      </c>
      <c r="BR12" s="11">
        <v>0</v>
      </c>
      <c r="BS12" s="11">
        <v>6.5</v>
      </c>
      <c r="BU12" s="9" t="s">
        <v>14</v>
      </c>
      <c r="BV12" s="11">
        <v>0.17399999999999999</v>
      </c>
      <c r="BW12" s="11">
        <v>0.74</v>
      </c>
      <c r="BX12" s="11">
        <v>0</v>
      </c>
      <c r="BY12" s="11">
        <v>2.2999999999999998</v>
      </c>
    </row>
    <row r="13" spans="1:77" x14ac:dyDescent="0.25">
      <c r="A13" s="9" t="s">
        <v>15</v>
      </c>
      <c r="B13" s="11">
        <v>3.2418704666848615</v>
      </c>
      <c r="C13" s="11">
        <v>0.51086409992849025</v>
      </c>
      <c r="D13" s="11">
        <v>2.2405768308250207</v>
      </c>
      <c r="E13" s="11">
        <v>4.2431641025447018</v>
      </c>
      <c r="G13" s="9" t="s">
        <v>15</v>
      </c>
      <c r="H13" s="11">
        <v>0.14499999999999999</v>
      </c>
      <c r="I13" s="11">
        <v>0.375</v>
      </c>
      <c r="J13" s="11">
        <v>0</v>
      </c>
      <c r="K13" s="11">
        <v>1.3</v>
      </c>
      <c r="M13" s="9" t="s">
        <v>15</v>
      </c>
      <c r="N13" s="11">
        <v>0.13900000000000001</v>
      </c>
      <c r="O13" s="11">
        <v>0.34300000000000003</v>
      </c>
      <c r="P13" s="11">
        <v>0</v>
      </c>
      <c r="Q13" s="11">
        <v>1.1000000000000001</v>
      </c>
      <c r="S13" s="9" t="s">
        <v>15</v>
      </c>
      <c r="T13" s="11">
        <v>6.9000000000000006E-2</v>
      </c>
      <c r="U13" s="11">
        <v>0.16</v>
      </c>
      <c r="V13" s="11">
        <v>0</v>
      </c>
      <c r="W13" s="11">
        <v>0.5</v>
      </c>
      <c r="Y13" s="9" t="s">
        <v>15</v>
      </c>
      <c r="Z13" s="11">
        <v>0.378</v>
      </c>
      <c r="AA13" s="11">
        <v>0.69</v>
      </c>
      <c r="AB13" s="11">
        <v>0</v>
      </c>
      <c r="AC13" s="11">
        <v>2.6</v>
      </c>
      <c r="AE13" s="9" t="s">
        <v>15</v>
      </c>
      <c r="AF13" s="11">
        <v>0.13600000000000001</v>
      </c>
      <c r="AG13" s="11">
        <v>0.34100000000000003</v>
      </c>
      <c r="AH13" s="11">
        <v>0</v>
      </c>
      <c r="AI13" s="11">
        <v>1.2</v>
      </c>
      <c r="AK13" s="9" t="s">
        <v>15</v>
      </c>
      <c r="AL13" s="11">
        <v>0.373</v>
      </c>
      <c r="AM13" s="11">
        <v>0.66200000000000003</v>
      </c>
      <c r="AN13" s="11">
        <v>0</v>
      </c>
      <c r="AO13" s="11">
        <v>2.2999999999999998</v>
      </c>
      <c r="AQ13" s="9" t="s">
        <v>15</v>
      </c>
      <c r="AR13" s="11">
        <v>9.3049999999999997</v>
      </c>
      <c r="AS13" s="11">
        <v>3.7440000000000002</v>
      </c>
      <c r="AT13" s="11">
        <v>2.2999999999999998</v>
      </c>
      <c r="AU13" s="11">
        <v>16.899999999999999</v>
      </c>
      <c r="AW13" s="9" t="s">
        <v>15</v>
      </c>
      <c r="AX13" s="11">
        <v>4.8570000000000002</v>
      </c>
      <c r="AY13" s="11">
        <v>3.9470000000000001</v>
      </c>
      <c r="AZ13" s="11">
        <v>0</v>
      </c>
      <c r="BA13" s="11">
        <v>13.4</v>
      </c>
      <c r="BC13" s="9" t="s">
        <v>15</v>
      </c>
      <c r="BD13" s="11">
        <v>17.675000000000001</v>
      </c>
      <c r="BE13" s="11">
        <v>4.1509999999999998</v>
      </c>
      <c r="BF13" s="11">
        <v>10</v>
      </c>
      <c r="BG13" s="11">
        <v>26.302</v>
      </c>
      <c r="BI13" s="9" t="s">
        <v>15</v>
      </c>
      <c r="BJ13" s="11">
        <v>17.923999999999999</v>
      </c>
      <c r="BK13" s="11">
        <v>4.3010000000000002</v>
      </c>
      <c r="BL13" s="11">
        <v>9.6999999999999993</v>
      </c>
      <c r="BM13" s="11">
        <v>26.6</v>
      </c>
      <c r="BO13" s="9" t="s">
        <v>15</v>
      </c>
      <c r="BP13" s="11">
        <v>10.007999999999999</v>
      </c>
      <c r="BQ13" s="11">
        <v>3.3919999999999999</v>
      </c>
      <c r="BR13" s="11">
        <v>3.7</v>
      </c>
      <c r="BS13" s="11">
        <v>17.100000000000001</v>
      </c>
      <c r="BU13" s="9" t="s">
        <v>15</v>
      </c>
      <c r="BV13" s="11">
        <v>1.927</v>
      </c>
      <c r="BW13" s="11">
        <v>2.9380000000000002</v>
      </c>
      <c r="BX13" s="11">
        <v>0</v>
      </c>
      <c r="BY13" s="11">
        <v>10.1</v>
      </c>
    </row>
    <row r="14" spans="1:77" x14ac:dyDescent="0.25">
      <c r="A14" s="7" t="s">
        <v>105</v>
      </c>
      <c r="B14" s="11">
        <v>4.7106719256111358</v>
      </c>
      <c r="C14" s="11">
        <v>0.34116926565005629</v>
      </c>
      <c r="D14" s="11">
        <v>4.0419801649370255</v>
      </c>
      <c r="E14" s="11">
        <v>5.3793636862852461</v>
      </c>
      <c r="G14" s="7" t="s">
        <v>105</v>
      </c>
      <c r="H14" s="11">
        <v>0.19900000000000001</v>
      </c>
      <c r="I14" s="11">
        <v>0.41799999999999998</v>
      </c>
      <c r="J14" s="11">
        <v>0</v>
      </c>
      <c r="K14" s="11">
        <v>1.5</v>
      </c>
      <c r="M14" s="7" t="s">
        <v>105</v>
      </c>
      <c r="N14" s="11">
        <v>7.2999999999999995E-2</v>
      </c>
      <c r="O14" s="11">
        <v>0.21099999999999999</v>
      </c>
      <c r="P14" s="11">
        <v>0</v>
      </c>
      <c r="Q14" s="11">
        <v>0.7</v>
      </c>
      <c r="S14" s="7" t="s">
        <v>105</v>
      </c>
      <c r="T14" s="11">
        <v>4.8000000000000001E-2</v>
      </c>
      <c r="U14" s="11">
        <v>0.12</v>
      </c>
      <c r="V14" s="11">
        <v>0</v>
      </c>
      <c r="W14" s="11">
        <v>0.4</v>
      </c>
      <c r="Y14" s="7" t="s">
        <v>105</v>
      </c>
      <c r="Z14" s="11">
        <v>0.06</v>
      </c>
      <c r="AA14" s="11">
        <v>0.158</v>
      </c>
      <c r="AB14" s="11">
        <v>0</v>
      </c>
      <c r="AC14" s="11">
        <v>0.5</v>
      </c>
      <c r="AE14" s="7" t="s">
        <v>105</v>
      </c>
      <c r="AF14" s="11">
        <v>5.0999999999999997E-2</v>
      </c>
      <c r="AG14" s="11">
        <v>0.13400000000000001</v>
      </c>
      <c r="AH14" s="11">
        <v>0</v>
      </c>
      <c r="AI14" s="11">
        <v>0.4</v>
      </c>
      <c r="AK14" s="7" t="s">
        <v>105</v>
      </c>
      <c r="AL14" s="11">
        <v>0.16700000000000001</v>
      </c>
      <c r="AM14" s="11">
        <v>0.33900000000000002</v>
      </c>
      <c r="AN14" s="11">
        <v>0</v>
      </c>
      <c r="AO14" s="11">
        <v>1.2</v>
      </c>
      <c r="AQ14" s="7" t="s">
        <v>105</v>
      </c>
      <c r="AR14" s="11">
        <v>4.2830000000000004</v>
      </c>
      <c r="AS14" s="11">
        <v>1.333</v>
      </c>
      <c r="AT14" s="11">
        <v>2</v>
      </c>
      <c r="AU14" s="11">
        <v>7.2</v>
      </c>
      <c r="AW14" s="7" t="s">
        <v>105</v>
      </c>
      <c r="AX14" s="11">
        <v>17.234000000000002</v>
      </c>
      <c r="AY14" s="11">
        <v>2.5649999999999999</v>
      </c>
      <c r="AZ14" s="11">
        <v>12.6</v>
      </c>
      <c r="BA14" s="11">
        <v>22.5</v>
      </c>
      <c r="BC14" s="7" t="s">
        <v>105</v>
      </c>
      <c r="BD14" s="11">
        <v>21.593</v>
      </c>
      <c r="BE14" s="11">
        <v>2.6379999999999999</v>
      </c>
      <c r="BF14" s="11">
        <v>16.7</v>
      </c>
      <c r="BG14" s="11">
        <v>27</v>
      </c>
      <c r="BI14" s="7" t="s">
        <v>105</v>
      </c>
      <c r="BJ14" s="11">
        <v>19.706</v>
      </c>
      <c r="BK14" s="11">
        <v>2.7530000000000001</v>
      </c>
      <c r="BL14" s="11">
        <v>14.6</v>
      </c>
      <c r="BM14" s="11">
        <v>25.4</v>
      </c>
      <c r="BO14" s="7" t="s">
        <v>105</v>
      </c>
      <c r="BP14" s="11">
        <v>16.763000000000002</v>
      </c>
      <c r="BQ14" s="11">
        <v>2.476</v>
      </c>
      <c r="BR14" s="11">
        <v>12.2</v>
      </c>
      <c r="BS14" s="11">
        <v>21.802</v>
      </c>
      <c r="BU14" s="7" t="s">
        <v>105</v>
      </c>
      <c r="BV14" s="11">
        <v>14.005000000000001</v>
      </c>
      <c r="BW14" s="11">
        <v>3.222</v>
      </c>
      <c r="BX14" s="11">
        <v>8.3000000000000007</v>
      </c>
      <c r="BY14" s="11">
        <v>21</v>
      </c>
    </row>
    <row r="15" spans="1:77" x14ac:dyDescent="0.25">
      <c r="A15" s="9" t="s">
        <v>17</v>
      </c>
      <c r="B15" s="11">
        <v>4.4768812678856884</v>
      </c>
      <c r="C15" s="11">
        <v>0.32264226912142213</v>
      </c>
      <c r="D15" s="11">
        <v>3.844502420407701</v>
      </c>
      <c r="E15" s="11">
        <v>5.1092601153636759</v>
      </c>
      <c r="G15" s="9" t="s">
        <v>17</v>
      </c>
      <c r="H15" s="11">
        <v>3.9E-2</v>
      </c>
      <c r="I15" s="11">
        <v>0.122</v>
      </c>
      <c r="J15" s="11">
        <v>0</v>
      </c>
      <c r="K15" s="11">
        <v>0.3</v>
      </c>
      <c r="M15" s="9" t="s">
        <v>17</v>
      </c>
      <c r="N15" s="11">
        <v>4.8000000000000001E-2</v>
      </c>
      <c r="O15" s="11">
        <v>0.16400000000000001</v>
      </c>
      <c r="P15" s="11">
        <v>0</v>
      </c>
      <c r="Q15" s="11">
        <v>0.4</v>
      </c>
      <c r="S15" s="9" t="s">
        <v>17</v>
      </c>
      <c r="T15" s="11">
        <v>3.2000000000000001E-2</v>
      </c>
      <c r="U15" s="11">
        <v>8.6999999999999994E-2</v>
      </c>
      <c r="V15" s="11">
        <v>0</v>
      </c>
      <c r="W15" s="11">
        <v>0.2</v>
      </c>
      <c r="Y15" s="9" t="s">
        <v>17</v>
      </c>
      <c r="Z15" s="11">
        <v>3.4000000000000002E-2</v>
      </c>
      <c r="AA15" s="11">
        <v>0.1</v>
      </c>
      <c r="AB15" s="11">
        <v>0</v>
      </c>
      <c r="AC15" s="11">
        <v>0.3</v>
      </c>
      <c r="AE15" s="9" t="s">
        <v>17</v>
      </c>
      <c r="AF15" s="11">
        <v>3.1E-2</v>
      </c>
      <c r="AG15" s="11">
        <v>9.1999999999999998E-2</v>
      </c>
      <c r="AH15" s="11">
        <v>0</v>
      </c>
      <c r="AI15" s="11">
        <v>0.2</v>
      </c>
      <c r="AK15" s="9" t="s">
        <v>17</v>
      </c>
      <c r="AL15" s="11">
        <v>0.151</v>
      </c>
      <c r="AM15" s="11">
        <v>0.32800000000000001</v>
      </c>
      <c r="AN15" s="11">
        <v>0</v>
      </c>
      <c r="AO15" s="11">
        <v>1.1000000000000001</v>
      </c>
      <c r="AQ15" s="9" t="s">
        <v>17</v>
      </c>
      <c r="AR15" s="11">
        <v>4.26</v>
      </c>
      <c r="AS15" s="11">
        <v>1.3260000000000001</v>
      </c>
      <c r="AT15" s="11">
        <v>2</v>
      </c>
      <c r="AU15" s="11">
        <v>7.2</v>
      </c>
      <c r="AW15" s="9" t="s">
        <v>17</v>
      </c>
      <c r="AX15" s="11">
        <v>16.832000000000001</v>
      </c>
      <c r="AY15" s="11">
        <v>2.4430000000000001</v>
      </c>
      <c r="AZ15" s="11">
        <v>12.3</v>
      </c>
      <c r="BA15" s="11">
        <v>21.9</v>
      </c>
      <c r="BC15" s="9" t="s">
        <v>17</v>
      </c>
      <c r="BD15" s="11">
        <v>21.363</v>
      </c>
      <c r="BE15" s="11">
        <v>2.589</v>
      </c>
      <c r="BF15" s="11">
        <v>16.600000000000001</v>
      </c>
      <c r="BG15" s="11">
        <v>26.6</v>
      </c>
      <c r="BI15" s="9" t="s">
        <v>17</v>
      </c>
      <c r="BJ15" s="11">
        <v>17.006</v>
      </c>
      <c r="BK15" s="11">
        <v>2.4609999999999999</v>
      </c>
      <c r="BL15" s="11">
        <v>12.4</v>
      </c>
      <c r="BM15" s="11">
        <v>22.1</v>
      </c>
      <c r="BO15" s="9" t="s">
        <v>17</v>
      </c>
      <c r="BP15" s="11">
        <v>16.420999999999999</v>
      </c>
      <c r="BQ15" s="11">
        <v>2.3820000000000001</v>
      </c>
      <c r="BR15" s="11">
        <v>12</v>
      </c>
      <c r="BS15" s="11">
        <v>21.3</v>
      </c>
      <c r="BU15" s="9" t="s">
        <v>17</v>
      </c>
      <c r="BV15" s="11">
        <v>13.022</v>
      </c>
      <c r="BW15" s="11">
        <v>2.948</v>
      </c>
      <c r="BX15" s="11">
        <v>7.8</v>
      </c>
      <c r="BY15" s="11">
        <v>19.3</v>
      </c>
    </row>
    <row r="16" spans="1:77" x14ac:dyDescent="0.25">
      <c r="A16" s="9" t="s">
        <v>18</v>
      </c>
      <c r="B16" s="11">
        <v>0.23773548091543531</v>
      </c>
      <c r="C16" s="11">
        <v>0.11540598679705133</v>
      </c>
      <c r="D16" s="11">
        <v>1.1539746793214706E-2</v>
      </c>
      <c r="E16" s="11">
        <v>0.46393121503765589</v>
      </c>
      <c r="G16" s="9" t="s">
        <v>18</v>
      </c>
      <c r="H16" s="11">
        <v>0.16600000000000001</v>
      </c>
      <c r="I16" s="11">
        <v>0.40600000000000003</v>
      </c>
      <c r="J16" s="11">
        <v>0</v>
      </c>
      <c r="K16" s="11">
        <v>1.4</v>
      </c>
      <c r="M16" s="9" t="s">
        <v>18</v>
      </c>
      <c r="N16" s="11">
        <v>2.9000000000000001E-2</v>
      </c>
      <c r="O16" s="11">
        <v>0.13700000000000001</v>
      </c>
      <c r="P16" s="11">
        <v>0</v>
      </c>
      <c r="Q16" s="11">
        <v>0.3</v>
      </c>
      <c r="S16" s="9" t="s">
        <v>18</v>
      </c>
      <c r="T16" s="11">
        <v>2.1000000000000001E-2</v>
      </c>
      <c r="U16" s="11">
        <v>8.7999999999999995E-2</v>
      </c>
      <c r="V16" s="11">
        <v>0</v>
      </c>
      <c r="W16" s="11">
        <v>0.2</v>
      </c>
      <c r="Y16" s="9" t="s">
        <v>18</v>
      </c>
      <c r="Z16" s="11">
        <v>0.03</v>
      </c>
      <c r="AA16" s="11">
        <v>0.126</v>
      </c>
      <c r="AB16" s="11">
        <v>0</v>
      </c>
      <c r="AC16" s="11">
        <v>0.3</v>
      </c>
      <c r="AE16" s="9" t="s">
        <v>18</v>
      </c>
      <c r="AF16" s="11">
        <v>2.4E-2</v>
      </c>
      <c r="AG16" s="11">
        <v>0.10100000000000001</v>
      </c>
      <c r="AH16" s="11">
        <v>0</v>
      </c>
      <c r="AI16" s="11">
        <v>0.2</v>
      </c>
      <c r="AK16" s="9" t="s">
        <v>18</v>
      </c>
      <c r="AL16" s="11">
        <v>2.1999999999999999E-2</v>
      </c>
      <c r="AM16" s="11">
        <v>9.7000000000000003E-2</v>
      </c>
      <c r="AN16" s="11">
        <v>0</v>
      </c>
      <c r="AO16" s="11">
        <v>0.2</v>
      </c>
      <c r="AQ16" s="9" t="s">
        <v>18</v>
      </c>
      <c r="AR16" s="11">
        <v>0.03</v>
      </c>
      <c r="AS16" s="11">
        <v>0.13300000000000001</v>
      </c>
      <c r="AT16" s="11">
        <v>0</v>
      </c>
      <c r="AU16" s="11">
        <v>0.3</v>
      </c>
      <c r="AW16" s="9" t="s">
        <v>18</v>
      </c>
      <c r="AX16" s="11">
        <v>0.40600000000000003</v>
      </c>
      <c r="AY16" s="11">
        <v>0.80900000000000005</v>
      </c>
      <c r="AZ16" s="11">
        <v>0</v>
      </c>
      <c r="BA16" s="11">
        <v>2.8</v>
      </c>
      <c r="BC16" s="9" t="s">
        <v>18</v>
      </c>
      <c r="BD16" s="11">
        <v>0.23799999999999999</v>
      </c>
      <c r="BE16" s="11">
        <v>0.58399999999999996</v>
      </c>
      <c r="BF16" s="11">
        <v>0</v>
      </c>
      <c r="BG16" s="11">
        <v>2.1</v>
      </c>
      <c r="BI16" s="9" t="s">
        <v>18</v>
      </c>
      <c r="BJ16" s="11">
        <v>2.6930000000000001</v>
      </c>
      <c r="BK16" s="11">
        <v>1.327</v>
      </c>
      <c r="BL16" s="11">
        <v>0.6</v>
      </c>
      <c r="BM16" s="11">
        <v>5.7</v>
      </c>
      <c r="BO16" s="9" t="s">
        <v>18</v>
      </c>
      <c r="BP16" s="11">
        <v>0.34599999999999997</v>
      </c>
      <c r="BQ16" s="11">
        <v>0.67</v>
      </c>
      <c r="BR16" s="11">
        <v>0</v>
      </c>
      <c r="BS16" s="11">
        <v>2.2999999999999998</v>
      </c>
      <c r="BU16" s="9" t="s">
        <v>18</v>
      </c>
      <c r="BV16" s="11">
        <v>0.98299999999999998</v>
      </c>
      <c r="BW16" s="11">
        <v>1.5069999999999999</v>
      </c>
      <c r="BX16" s="11">
        <v>0</v>
      </c>
      <c r="BY16" s="11">
        <v>5.0999999999999996</v>
      </c>
    </row>
    <row r="17" spans="1:77" x14ac:dyDescent="0.25">
      <c r="A17" t="s">
        <v>41</v>
      </c>
      <c r="B17" s="11">
        <v>16.422904946391675</v>
      </c>
      <c r="C17" s="11">
        <v>0.69940042867088847</v>
      </c>
      <c r="D17" s="11">
        <v>15.052080106196733</v>
      </c>
      <c r="E17" s="11">
        <v>17.793729786586617</v>
      </c>
      <c r="G17" t="s">
        <v>41</v>
      </c>
      <c r="H17" s="11">
        <v>0.28799999999999998</v>
      </c>
      <c r="I17" s="11">
        <v>0.51900000000000002</v>
      </c>
      <c r="J17" s="11">
        <v>0</v>
      </c>
      <c r="K17" s="11">
        <v>1.8</v>
      </c>
      <c r="M17" t="s">
        <v>41</v>
      </c>
      <c r="N17" s="11">
        <v>0.626</v>
      </c>
      <c r="O17" s="11">
        <v>0.92</v>
      </c>
      <c r="P17" s="11">
        <v>0</v>
      </c>
      <c r="Q17" s="11">
        <v>3.4</v>
      </c>
      <c r="S17" t="s">
        <v>41</v>
      </c>
      <c r="T17" s="11">
        <v>0.25900000000000001</v>
      </c>
      <c r="U17" s="11">
        <v>0.46200000000000002</v>
      </c>
      <c r="V17" s="11">
        <v>0</v>
      </c>
      <c r="W17" s="11">
        <v>1.7</v>
      </c>
      <c r="Y17" t="s">
        <v>41</v>
      </c>
      <c r="Z17" s="11">
        <v>0.623</v>
      </c>
      <c r="AA17" s="11">
        <v>0.91300000000000003</v>
      </c>
      <c r="AB17" s="11">
        <v>0</v>
      </c>
      <c r="AC17" s="11">
        <v>3.1019999999999999</v>
      </c>
      <c r="AE17" t="s">
        <v>41</v>
      </c>
      <c r="AF17" s="11">
        <v>0.65900000000000003</v>
      </c>
      <c r="AG17" s="11">
        <v>0.97299999999999998</v>
      </c>
      <c r="AH17" s="11">
        <v>0</v>
      </c>
      <c r="AI17" s="11">
        <v>3.5</v>
      </c>
      <c r="AK17" t="s">
        <v>41</v>
      </c>
      <c r="AL17" s="11">
        <v>1.022</v>
      </c>
      <c r="AM17" s="11">
        <v>1.21</v>
      </c>
      <c r="AN17" s="11">
        <v>0</v>
      </c>
      <c r="AO17" s="11">
        <v>4.2</v>
      </c>
      <c r="AQ17" t="s">
        <v>41</v>
      </c>
      <c r="AR17" s="11">
        <v>18.036000000000001</v>
      </c>
      <c r="AS17" s="11">
        <v>5.1050000000000004</v>
      </c>
      <c r="AT17" s="11">
        <v>8.8000000000000007</v>
      </c>
      <c r="AU17" s="11">
        <v>28.5</v>
      </c>
      <c r="AW17" t="s">
        <v>41</v>
      </c>
      <c r="AX17" s="11">
        <v>52.66</v>
      </c>
      <c r="AY17" s="11">
        <v>5.1859999999999999</v>
      </c>
      <c r="AZ17" s="11">
        <v>42.3</v>
      </c>
      <c r="BA17" s="11">
        <v>62.4</v>
      </c>
      <c r="BC17" t="s">
        <v>41</v>
      </c>
      <c r="BD17" s="11">
        <v>48.204000000000001</v>
      </c>
      <c r="BE17" s="11">
        <v>5.2770000000000001</v>
      </c>
      <c r="BF17" s="11">
        <v>37.6</v>
      </c>
      <c r="BG17" s="11">
        <v>58.4</v>
      </c>
      <c r="BI17" t="s">
        <v>41</v>
      </c>
      <c r="BJ17" s="11">
        <v>57.357999999999997</v>
      </c>
      <c r="BK17" s="11">
        <v>4.9470000000000001</v>
      </c>
      <c r="BL17" s="11">
        <v>47.7</v>
      </c>
      <c r="BM17" s="11">
        <v>66.900000000000006</v>
      </c>
      <c r="BO17" t="s">
        <v>41</v>
      </c>
      <c r="BP17" s="11">
        <v>68.314999999999998</v>
      </c>
      <c r="BQ17" s="11">
        <v>4.641</v>
      </c>
      <c r="BR17" s="11">
        <v>58.7</v>
      </c>
      <c r="BS17" s="11">
        <v>76.8</v>
      </c>
      <c r="BU17" t="s">
        <v>41</v>
      </c>
      <c r="BV17" s="11">
        <v>74.631</v>
      </c>
      <c r="BW17" s="11">
        <v>5.1349999999999998</v>
      </c>
      <c r="BX17" s="11">
        <v>63.698</v>
      </c>
      <c r="BY17" s="11">
        <v>83.8</v>
      </c>
    </row>
    <row r="18" spans="1:77" x14ac:dyDescent="0.25">
      <c r="A18" t="s">
        <v>106</v>
      </c>
      <c r="B18" s="11">
        <v>7.9439944064096073</v>
      </c>
      <c r="C18" s="11">
        <v>0.57019010788299029</v>
      </c>
      <c r="D18" s="11">
        <v>6.8264217949589465</v>
      </c>
      <c r="E18" s="11">
        <v>9.0615670178602681</v>
      </c>
      <c r="G18" t="s">
        <v>106</v>
      </c>
      <c r="H18" s="11">
        <v>0.33200000000000002</v>
      </c>
      <c r="I18" s="11">
        <v>0.55900000000000005</v>
      </c>
      <c r="J18" s="11">
        <v>0</v>
      </c>
      <c r="K18" s="11">
        <v>2</v>
      </c>
      <c r="M18" t="s">
        <v>106</v>
      </c>
      <c r="N18" s="11">
        <v>0.19900000000000001</v>
      </c>
      <c r="O18" s="11">
        <v>0.4</v>
      </c>
      <c r="P18" s="11">
        <v>0</v>
      </c>
      <c r="Q18" s="11">
        <v>1.4</v>
      </c>
      <c r="S18" t="s">
        <v>106</v>
      </c>
      <c r="T18" s="11">
        <v>0.10299999999999999</v>
      </c>
      <c r="U18" s="11">
        <v>0.19900000000000001</v>
      </c>
      <c r="V18" s="11">
        <v>0</v>
      </c>
      <c r="W18" s="11">
        <v>0.7</v>
      </c>
      <c r="Y18" t="s">
        <v>106</v>
      </c>
      <c r="Z18" s="11">
        <v>0.42399999999999999</v>
      </c>
      <c r="AA18" s="11">
        <v>0.70499999999999996</v>
      </c>
      <c r="AB18" s="11">
        <v>0</v>
      </c>
      <c r="AC18" s="11">
        <v>2.6</v>
      </c>
      <c r="AE18" t="s">
        <v>106</v>
      </c>
      <c r="AF18" s="11">
        <v>0.17299999999999999</v>
      </c>
      <c r="AG18" s="11">
        <v>0.36499999999999999</v>
      </c>
      <c r="AH18" s="11">
        <v>0</v>
      </c>
      <c r="AI18" s="11">
        <v>1.3</v>
      </c>
      <c r="AK18" t="s">
        <v>106</v>
      </c>
      <c r="AL18" s="11">
        <v>0.52800000000000002</v>
      </c>
      <c r="AM18" s="11">
        <v>0.73299999999999998</v>
      </c>
      <c r="AN18" s="11">
        <v>0</v>
      </c>
      <c r="AO18" s="11">
        <v>2.6</v>
      </c>
      <c r="AQ18" t="s">
        <v>106</v>
      </c>
      <c r="AR18" s="11">
        <v>13.595000000000001</v>
      </c>
      <c r="AS18" s="11">
        <v>3.8940000000000001</v>
      </c>
      <c r="AT18" s="11">
        <v>6.0979999999999999</v>
      </c>
      <c r="AU18" s="11">
        <v>21.5</v>
      </c>
      <c r="AW18" t="s">
        <v>106</v>
      </c>
      <c r="AX18" s="11">
        <v>22.094000000000001</v>
      </c>
      <c r="AY18" s="11">
        <v>4.2380000000000004</v>
      </c>
      <c r="AZ18" s="11">
        <v>14.8</v>
      </c>
      <c r="BA18" s="11">
        <v>31.1</v>
      </c>
      <c r="BC18" t="s">
        <v>106</v>
      </c>
      <c r="BD18" s="11">
        <v>39.271000000000001</v>
      </c>
      <c r="BE18" s="11">
        <v>4.516</v>
      </c>
      <c r="BF18" s="11">
        <v>30.6</v>
      </c>
      <c r="BG18" s="11">
        <v>48.3</v>
      </c>
      <c r="BI18" t="s">
        <v>106</v>
      </c>
      <c r="BJ18" s="11">
        <v>37.634</v>
      </c>
      <c r="BK18" s="11">
        <v>4.4740000000000002</v>
      </c>
      <c r="BL18" s="11">
        <v>28.9</v>
      </c>
      <c r="BM18" s="11">
        <v>46.4</v>
      </c>
      <c r="BO18" t="s">
        <v>106</v>
      </c>
      <c r="BP18" s="11">
        <v>26.777000000000001</v>
      </c>
      <c r="BQ18" s="11">
        <v>3.9470000000000001</v>
      </c>
      <c r="BR18" s="11">
        <v>19.3</v>
      </c>
      <c r="BS18" s="11">
        <v>34.9</v>
      </c>
      <c r="BU18" t="s">
        <v>106</v>
      </c>
      <c r="BV18" s="11">
        <v>15.929</v>
      </c>
      <c r="BW18" s="11">
        <v>4.1470000000000002</v>
      </c>
      <c r="BX18" s="11">
        <v>9.1</v>
      </c>
      <c r="BY18" s="11">
        <v>25.2</v>
      </c>
    </row>
    <row r="19" spans="1:77" x14ac:dyDescent="0.25">
      <c r="A19" t="s">
        <v>22</v>
      </c>
      <c r="B19" s="11">
        <v>16.903607865413857</v>
      </c>
      <c r="C19" s="11">
        <v>0.59537270395599085</v>
      </c>
      <c r="D19" s="11">
        <v>15.736677365660116</v>
      </c>
      <c r="E19" s="11">
        <v>18.0705383651676</v>
      </c>
      <c r="G19" t="s">
        <v>22</v>
      </c>
      <c r="H19" s="11">
        <v>0.48899999999999999</v>
      </c>
      <c r="I19" s="11">
        <v>0.68899999999999995</v>
      </c>
      <c r="J19" s="11">
        <v>0</v>
      </c>
      <c r="K19" s="11">
        <v>2.4</v>
      </c>
      <c r="M19" t="s">
        <v>22</v>
      </c>
      <c r="N19" s="11">
        <v>0.56000000000000005</v>
      </c>
      <c r="O19" s="11">
        <v>0.89500000000000002</v>
      </c>
      <c r="P19" s="11">
        <v>0</v>
      </c>
      <c r="Q19" s="11">
        <v>3.3</v>
      </c>
      <c r="S19" t="s">
        <v>22</v>
      </c>
      <c r="T19" s="11">
        <v>0.24199999999999999</v>
      </c>
      <c r="U19" s="11">
        <v>0.41099999999999998</v>
      </c>
      <c r="V19" s="11">
        <v>0</v>
      </c>
      <c r="W19" s="11">
        <v>1.5</v>
      </c>
      <c r="Y19" t="s">
        <v>22</v>
      </c>
      <c r="Z19" s="11">
        <v>0.75700000000000001</v>
      </c>
      <c r="AA19" s="11">
        <v>1.0149999999999999</v>
      </c>
      <c r="AB19" s="11">
        <v>0</v>
      </c>
      <c r="AC19" s="11">
        <v>3.5</v>
      </c>
      <c r="AE19" t="s">
        <v>22</v>
      </c>
      <c r="AF19" s="11">
        <v>0.60799999999999998</v>
      </c>
      <c r="AG19" s="11">
        <v>0.85099999999999998</v>
      </c>
      <c r="AH19" s="11">
        <v>0</v>
      </c>
      <c r="AI19" s="11">
        <v>3</v>
      </c>
      <c r="AK19" t="s">
        <v>22</v>
      </c>
      <c r="AL19" s="11">
        <v>0.96</v>
      </c>
      <c r="AM19" s="11">
        <v>1.052</v>
      </c>
      <c r="AN19" s="11">
        <v>0</v>
      </c>
      <c r="AO19" s="11">
        <v>3.7</v>
      </c>
      <c r="AQ19" t="s">
        <v>22</v>
      </c>
      <c r="AR19" s="11">
        <v>31.251000000000001</v>
      </c>
      <c r="AS19" s="11">
        <v>4.149</v>
      </c>
      <c r="AT19" s="11">
        <v>23.498000000000001</v>
      </c>
      <c r="AU19" s="11">
        <v>39.5</v>
      </c>
      <c r="AW19" t="s">
        <v>22</v>
      </c>
      <c r="AX19" s="11">
        <v>70.394999999999996</v>
      </c>
      <c r="AY19" s="11">
        <v>3.7210000000000001</v>
      </c>
      <c r="AZ19" s="11">
        <v>62.8</v>
      </c>
      <c r="BA19" s="11">
        <v>77.3</v>
      </c>
      <c r="BC19" t="s">
        <v>22</v>
      </c>
      <c r="BD19" s="11">
        <v>76.397000000000006</v>
      </c>
      <c r="BE19" s="11">
        <v>3.5339999999999998</v>
      </c>
      <c r="BF19" s="11">
        <v>69.2</v>
      </c>
      <c r="BG19" s="11">
        <v>83</v>
      </c>
      <c r="BI19" t="s">
        <v>22</v>
      </c>
      <c r="BJ19" s="11">
        <v>63.393000000000001</v>
      </c>
      <c r="BK19" s="11">
        <v>4.085</v>
      </c>
      <c r="BL19" s="11">
        <v>55.398000000000003</v>
      </c>
      <c r="BM19" s="11">
        <v>71.3</v>
      </c>
      <c r="BO19" t="s">
        <v>22</v>
      </c>
      <c r="BP19" s="11">
        <v>56.612000000000002</v>
      </c>
      <c r="BQ19" s="11">
        <v>4.0309999999999997</v>
      </c>
      <c r="BR19" s="11">
        <v>48.6</v>
      </c>
      <c r="BS19" s="11">
        <v>64.3</v>
      </c>
      <c r="BU19" t="s">
        <v>22</v>
      </c>
      <c r="BV19" s="11">
        <v>34.387999999999998</v>
      </c>
      <c r="BW19" s="11">
        <v>4.6820000000000004</v>
      </c>
      <c r="BX19" s="11">
        <v>25.498000000000001</v>
      </c>
      <c r="BY19" s="11">
        <v>43.9</v>
      </c>
    </row>
    <row r="20" spans="1:77" x14ac:dyDescent="0.25">
      <c r="A20" t="s">
        <v>42</v>
      </c>
      <c r="B20" s="11">
        <v>91.893697238098952</v>
      </c>
      <c r="C20" s="11">
        <v>0.58917049978651614</v>
      </c>
      <c r="D20" s="11">
        <v>90.738923058517386</v>
      </c>
      <c r="E20" s="11">
        <v>93.048471417680517</v>
      </c>
      <c r="G20" t="s">
        <v>42</v>
      </c>
      <c r="H20" s="11">
        <v>99.632999999999996</v>
      </c>
      <c r="I20" s="11">
        <v>0.59</v>
      </c>
      <c r="J20" s="11">
        <v>97.9</v>
      </c>
      <c r="K20" s="11">
        <v>100</v>
      </c>
      <c r="M20" t="s">
        <v>42</v>
      </c>
      <c r="N20" s="11">
        <v>99.753</v>
      </c>
      <c r="O20" s="11">
        <v>0.46100000000000002</v>
      </c>
      <c r="P20" s="11">
        <v>98.4</v>
      </c>
      <c r="Q20" s="11">
        <v>100</v>
      </c>
      <c r="S20" t="s">
        <v>42</v>
      </c>
      <c r="T20" s="11">
        <v>99.882999999999996</v>
      </c>
      <c r="U20" s="11">
        <v>0.21299999999999999</v>
      </c>
      <c r="V20" s="11">
        <v>99.2</v>
      </c>
      <c r="W20" s="11">
        <v>100</v>
      </c>
      <c r="Y20" t="s">
        <v>42</v>
      </c>
      <c r="Z20" s="11">
        <v>99.56</v>
      </c>
      <c r="AA20" s="11">
        <v>0.70899999999999996</v>
      </c>
      <c r="AB20" s="11">
        <v>97.3</v>
      </c>
      <c r="AC20" s="11">
        <v>100</v>
      </c>
      <c r="AE20" t="s">
        <v>42</v>
      </c>
      <c r="AF20" s="11">
        <v>99.7</v>
      </c>
      <c r="AG20" s="11">
        <v>0.53</v>
      </c>
      <c r="AH20" s="11">
        <v>98.1</v>
      </c>
      <c r="AI20" s="11">
        <v>100</v>
      </c>
      <c r="AK20" t="s">
        <v>42</v>
      </c>
      <c r="AL20" s="11">
        <v>99.441999999999993</v>
      </c>
      <c r="AM20" s="11">
        <v>0.746</v>
      </c>
      <c r="AN20" s="11">
        <v>97.3</v>
      </c>
      <c r="AO20" s="11">
        <v>100</v>
      </c>
      <c r="AQ20" t="s">
        <v>42</v>
      </c>
      <c r="AR20" s="11">
        <v>86.188000000000002</v>
      </c>
      <c r="AS20" s="11">
        <v>3.9159999999999999</v>
      </c>
      <c r="AT20" s="11">
        <v>78.2</v>
      </c>
      <c r="AU20" s="11">
        <v>93.7</v>
      </c>
      <c r="AW20" t="s">
        <v>42</v>
      </c>
      <c r="AX20" s="11">
        <v>77.53</v>
      </c>
      <c r="AY20" s="11">
        <v>4.4029999999999996</v>
      </c>
      <c r="AZ20" s="11">
        <v>68</v>
      </c>
      <c r="BA20" s="11">
        <v>85.001999999999995</v>
      </c>
      <c r="BC20" t="s">
        <v>42</v>
      </c>
      <c r="BD20" s="11">
        <v>59.643999999999998</v>
      </c>
      <c r="BE20" s="11">
        <v>4.7859999999999996</v>
      </c>
      <c r="BF20" s="11">
        <v>49.8</v>
      </c>
      <c r="BG20" s="11">
        <v>68.5</v>
      </c>
      <c r="BI20" t="s">
        <v>42</v>
      </c>
      <c r="BJ20" s="11">
        <v>62.308999999999997</v>
      </c>
      <c r="BK20" s="11">
        <v>4.4740000000000002</v>
      </c>
      <c r="BL20" s="11">
        <v>53.5</v>
      </c>
      <c r="BM20" s="11">
        <v>71</v>
      </c>
      <c r="BO20" t="s">
        <v>42</v>
      </c>
      <c r="BP20" s="11">
        <v>72.619</v>
      </c>
      <c r="BQ20" s="11">
        <v>4.0780000000000003</v>
      </c>
      <c r="BR20" s="11">
        <v>64.2</v>
      </c>
      <c r="BS20" s="11">
        <v>80.201999999999998</v>
      </c>
      <c r="BU20" t="s">
        <v>42</v>
      </c>
      <c r="BV20" s="11">
        <v>83.902000000000001</v>
      </c>
      <c r="BW20" s="11">
        <v>4.1950000000000003</v>
      </c>
      <c r="BX20" s="11">
        <v>74.5</v>
      </c>
      <c r="BY20" s="11">
        <v>90.8</v>
      </c>
    </row>
    <row r="21" spans="1:77" x14ac:dyDescent="0.25">
      <c r="A21" t="s">
        <v>21</v>
      </c>
      <c r="B21" s="11">
        <v>8.1063027619010501</v>
      </c>
      <c r="C21" s="11">
        <v>0.58936360703202073</v>
      </c>
      <c r="D21" s="11">
        <v>6.95115009211829</v>
      </c>
      <c r="E21" s="11">
        <v>9.2614554316838102</v>
      </c>
      <c r="G21" t="s">
        <v>21</v>
      </c>
      <c r="H21" s="11">
        <v>0.36699999999999999</v>
      </c>
      <c r="I21" s="11">
        <v>0.59199999999999997</v>
      </c>
      <c r="J21" s="11">
        <v>0</v>
      </c>
      <c r="K21" s="11">
        <v>2.1</v>
      </c>
      <c r="M21" t="s">
        <v>21</v>
      </c>
      <c r="N21" s="11">
        <v>0.247</v>
      </c>
      <c r="O21" s="11">
        <v>0.46400000000000002</v>
      </c>
      <c r="P21" s="11">
        <v>0</v>
      </c>
      <c r="Q21" s="11">
        <v>1.6</v>
      </c>
      <c r="S21" t="s">
        <v>21</v>
      </c>
      <c r="T21" s="11">
        <v>0.11700000000000001</v>
      </c>
      <c r="U21" s="11">
        <v>0.215</v>
      </c>
      <c r="V21" s="11">
        <v>0</v>
      </c>
      <c r="W21" s="11">
        <v>0.8</v>
      </c>
      <c r="Y21" t="s">
        <v>21</v>
      </c>
      <c r="Z21" s="11">
        <v>0.44</v>
      </c>
      <c r="AA21" s="11">
        <v>0.71099999999999997</v>
      </c>
      <c r="AB21" s="11">
        <v>0</v>
      </c>
      <c r="AC21" s="11">
        <v>2.6</v>
      </c>
      <c r="AE21" t="s">
        <v>21</v>
      </c>
      <c r="AF21" s="11">
        <v>0.3</v>
      </c>
      <c r="AG21" s="11">
        <v>0.53200000000000003</v>
      </c>
      <c r="AH21" s="11">
        <v>0</v>
      </c>
      <c r="AI21" s="11">
        <v>1.9</v>
      </c>
      <c r="AK21" t="s">
        <v>21</v>
      </c>
      <c r="AL21" s="11">
        <v>0.55800000000000005</v>
      </c>
      <c r="AM21" s="11">
        <v>0.748</v>
      </c>
      <c r="AN21" s="11">
        <v>0</v>
      </c>
      <c r="AO21" s="11">
        <v>2.7</v>
      </c>
      <c r="AQ21" t="s">
        <v>21</v>
      </c>
      <c r="AR21" s="11">
        <v>13.811999999999999</v>
      </c>
      <c r="AS21" s="11">
        <v>3.9159999999999999</v>
      </c>
      <c r="AT21" s="11">
        <v>6.3</v>
      </c>
      <c r="AU21" s="11">
        <v>21.8</v>
      </c>
      <c r="AW21" t="s">
        <v>21</v>
      </c>
      <c r="AX21" s="11">
        <v>22.47</v>
      </c>
      <c r="AY21" s="11">
        <v>4.4039999999999999</v>
      </c>
      <c r="AZ21" s="11">
        <v>14.9</v>
      </c>
      <c r="BA21" s="11">
        <v>32</v>
      </c>
      <c r="BC21" t="s">
        <v>21</v>
      </c>
      <c r="BD21" s="11">
        <v>40.356000000000002</v>
      </c>
      <c r="BE21" s="11">
        <v>4.7859999999999996</v>
      </c>
      <c r="BF21" s="11">
        <v>31.4</v>
      </c>
      <c r="BG21" s="11">
        <v>50.2</v>
      </c>
      <c r="BI21" t="s">
        <v>21</v>
      </c>
      <c r="BJ21" s="11">
        <v>37.691000000000003</v>
      </c>
      <c r="BK21" s="11">
        <v>4.4740000000000002</v>
      </c>
      <c r="BL21" s="11">
        <v>29</v>
      </c>
      <c r="BM21" s="11">
        <v>46.5</v>
      </c>
      <c r="BO21" t="s">
        <v>21</v>
      </c>
      <c r="BP21" s="11">
        <v>27.381</v>
      </c>
      <c r="BQ21" s="11">
        <v>4.0780000000000003</v>
      </c>
      <c r="BR21" s="11">
        <v>19.7</v>
      </c>
      <c r="BS21" s="11">
        <v>35.700000000000003</v>
      </c>
      <c r="BU21" t="s">
        <v>21</v>
      </c>
      <c r="BV21" s="11">
        <v>16.097999999999999</v>
      </c>
      <c r="BW21" s="11">
        <v>4.194</v>
      </c>
      <c r="BX21" s="11">
        <v>9.1999999999999993</v>
      </c>
      <c r="BY21" s="11">
        <v>25.4</v>
      </c>
    </row>
    <row r="23" spans="1:77" x14ac:dyDescent="0.25">
      <c r="A23" s="5" t="s">
        <v>165</v>
      </c>
      <c r="G23" s="16" t="s">
        <v>195</v>
      </c>
    </row>
    <row r="24" spans="1:77" x14ac:dyDescent="0.25">
      <c r="A24" t="s">
        <v>64</v>
      </c>
      <c r="B24" s="7" t="s">
        <v>65</v>
      </c>
      <c r="C24" s="7" t="s">
        <v>34</v>
      </c>
      <c r="D24" s="14" t="s">
        <v>111</v>
      </c>
      <c r="E24" s="14"/>
      <c r="G24" s="16" t="s">
        <v>196</v>
      </c>
    </row>
    <row r="25" spans="1:77" x14ac:dyDescent="0.25">
      <c r="A25" t="s">
        <v>9</v>
      </c>
      <c r="B25" s="11">
        <v>97.915820090819224</v>
      </c>
      <c r="C25" s="11">
        <v>0.43875606177674287</v>
      </c>
      <c r="D25" s="11">
        <v>97.055858209736812</v>
      </c>
      <c r="E25" s="11">
        <v>98.775781971901637</v>
      </c>
      <c r="G25" s="17" t="s">
        <v>197</v>
      </c>
    </row>
    <row r="26" spans="1:77" x14ac:dyDescent="0.25">
      <c r="A26" s="7" t="s">
        <v>10</v>
      </c>
      <c r="B26" s="11">
        <v>73.728069283998337</v>
      </c>
      <c r="C26" s="11">
        <v>2.8597334737151856</v>
      </c>
      <c r="D26" s="11">
        <v>68.122991675516573</v>
      </c>
      <c r="E26" s="11">
        <v>79.333146892480102</v>
      </c>
      <c r="G26" s="18" t="s">
        <v>198</v>
      </c>
    </row>
    <row r="27" spans="1:77" x14ac:dyDescent="0.25">
      <c r="A27" s="7" t="s">
        <v>101</v>
      </c>
      <c r="B27" s="11">
        <v>24.146783389801659</v>
      </c>
      <c r="C27" s="11">
        <v>2.8757845844805492</v>
      </c>
      <c r="D27" s="11">
        <v>18.510245604219783</v>
      </c>
      <c r="E27" s="11">
        <v>29.783321175383534</v>
      </c>
      <c r="G27" s="18" t="s">
        <v>199</v>
      </c>
    </row>
    <row r="28" spans="1:77" x14ac:dyDescent="0.25">
      <c r="A28" s="9" t="s">
        <v>126</v>
      </c>
      <c r="B28" s="11">
        <v>18.625491631044369</v>
      </c>
      <c r="C28" s="11">
        <v>3.0433325143487768</v>
      </c>
      <c r="D28" s="11">
        <v>12.660559902920767</v>
      </c>
      <c r="E28" s="11">
        <v>24.590423359167971</v>
      </c>
      <c r="G28" s="18" t="s">
        <v>200</v>
      </c>
    </row>
    <row r="29" spans="1:77" x14ac:dyDescent="0.25">
      <c r="A29" s="9" t="s">
        <v>103</v>
      </c>
      <c r="B29" s="11">
        <v>5.5077800126668661</v>
      </c>
      <c r="C29" s="11">
        <v>1.0955825022801571</v>
      </c>
      <c r="D29" s="11">
        <v>3.3604383081977582</v>
      </c>
      <c r="E29" s="11">
        <v>7.655121717135974</v>
      </c>
      <c r="G29" s="16" t="s">
        <v>201</v>
      </c>
    </row>
    <row r="30" spans="1:77" x14ac:dyDescent="0.25">
      <c r="A30" t="s">
        <v>11</v>
      </c>
      <c r="B30" s="11">
        <v>2.0841799091807629</v>
      </c>
      <c r="C30" s="11">
        <v>0.43861077297722662</v>
      </c>
      <c r="D30" s="11">
        <v>1.2245027941453988</v>
      </c>
      <c r="E30" s="11">
        <v>2.9438570242161273</v>
      </c>
      <c r="G30" s="16" t="s">
        <v>202</v>
      </c>
    </row>
    <row r="31" spans="1:77" x14ac:dyDescent="0.25">
      <c r="A31" s="7" t="s">
        <v>103</v>
      </c>
      <c r="B31" s="11">
        <v>0.28995097515550322</v>
      </c>
      <c r="C31" s="11">
        <v>0.23541421201597376</v>
      </c>
      <c r="D31" s="11">
        <v>0</v>
      </c>
      <c r="E31" s="11">
        <v>0.75136283070681187</v>
      </c>
      <c r="G31" s="16" t="s">
        <v>203</v>
      </c>
    </row>
    <row r="32" spans="1:77" x14ac:dyDescent="0.25">
      <c r="A32" s="7" t="s">
        <v>38</v>
      </c>
      <c r="B32" s="11">
        <v>0.98198973023125657</v>
      </c>
      <c r="C32" s="11">
        <v>0.34515433390805611</v>
      </c>
      <c r="D32" s="11">
        <v>0.30548723577146664</v>
      </c>
      <c r="E32" s="11">
        <v>1.6584922246910465</v>
      </c>
      <c r="G32" s="16" t="s">
        <v>204</v>
      </c>
    </row>
    <row r="33" spans="1:7" x14ac:dyDescent="0.25">
      <c r="A33" s="7" t="s">
        <v>104</v>
      </c>
      <c r="B33" s="11">
        <v>0.61460870557263791</v>
      </c>
      <c r="C33" s="11">
        <v>0.2583337530856451</v>
      </c>
      <c r="D33" s="11">
        <v>0.10827454952477356</v>
      </c>
      <c r="E33" s="11">
        <v>1.1209428616205024</v>
      </c>
      <c r="G33" s="16" t="s">
        <v>205</v>
      </c>
    </row>
    <row r="34" spans="1:7" x14ac:dyDescent="0.25">
      <c r="A34" s="9" t="s">
        <v>14</v>
      </c>
      <c r="B34" s="11">
        <v>5.8404341403891849E-2</v>
      </c>
      <c r="C34" s="11">
        <v>9.8846325800502621E-2</v>
      </c>
      <c r="D34" s="11">
        <v>0</v>
      </c>
      <c r="E34" s="11">
        <v>0.25214313997287696</v>
      </c>
      <c r="G34" s="16" t="s">
        <v>206</v>
      </c>
    </row>
    <row r="35" spans="1:7" x14ac:dyDescent="0.25">
      <c r="A35" s="9" t="s">
        <v>15</v>
      </c>
      <c r="B35" s="11">
        <v>0.56305074265115529</v>
      </c>
      <c r="C35" s="11">
        <v>0.24217637803749045</v>
      </c>
      <c r="D35" s="11">
        <v>8.8385041697674027E-2</v>
      </c>
      <c r="E35" s="11">
        <v>1.0377164436046367</v>
      </c>
      <c r="G35" s="16" t="s">
        <v>207</v>
      </c>
    </row>
    <row r="36" spans="1:7" x14ac:dyDescent="0.25">
      <c r="A36" s="7" t="s">
        <v>105</v>
      </c>
      <c r="B36" s="11">
        <v>0.24079619816492304</v>
      </c>
      <c r="C36" s="11">
        <v>8.9210523186409624E-2</v>
      </c>
      <c r="D36" s="11">
        <v>6.5943572719560167E-2</v>
      </c>
      <c r="E36" s="11">
        <v>0.41564882361028588</v>
      </c>
      <c r="G36" s="16" t="s">
        <v>208</v>
      </c>
    </row>
    <row r="37" spans="1:7" x14ac:dyDescent="0.25">
      <c r="A37" s="9" t="s">
        <v>17</v>
      </c>
      <c r="B37" s="11">
        <v>0.21688431172604064</v>
      </c>
      <c r="C37" s="11">
        <v>7.5007055071406412E-2</v>
      </c>
      <c r="D37" s="11">
        <v>6.987048378608407E-2</v>
      </c>
      <c r="E37" s="11">
        <v>0.36389813966599721</v>
      </c>
      <c r="G37" s="16" t="s">
        <v>209</v>
      </c>
    </row>
    <row r="38" spans="1:7" x14ac:dyDescent="0.25">
      <c r="A38" s="9" t="s">
        <v>18</v>
      </c>
      <c r="B38" s="11">
        <v>2.8492225227948767E-2</v>
      </c>
      <c r="C38" s="11">
        <v>5.0253719240533574E-2</v>
      </c>
      <c r="D38" s="11">
        <v>0</v>
      </c>
      <c r="E38" s="11">
        <v>0.12698951493939459</v>
      </c>
      <c r="G38" s="16" t="s">
        <v>210</v>
      </c>
    </row>
    <row r="39" spans="1:7" x14ac:dyDescent="0.25">
      <c r="A39" t="s">
        <v>41</v>
      </c>
      <c r="B39" s="11">
        <v>1.2570099951285303</v>
      </c>
      <c r="C39" s="11">
        <v>0.40947532822800331</v>
      </c>
      <c r="D39" s="11">
        <v>0.45443835180164383</v>
      </c>
      <c r="E39" s="11">
        <v>2.0595816384554166</v>
      </c>
      <c r="G39" s="16" t="s">
        <v>211</v>
      </c>
    </row>
    <row r="40" spans="1:7" x14ac:dyDescent="0.25">
      <c r="A40" t="s">
        <v>106</v>
      </c>
      <c r="B40" s="11">
        <v>0.79104424474724488</v>
      </c>
      <c r="C40" s="11">
        <v>0.25522769918328619</v>
      </c>
      <c r="D40" s="11">
        <v>0.29079795434800393</v>
      </c>
      <c r="E40" s="11">
        <v>1.2912905351464858</v>
      </c>
      <c r="G40" s="16" t="s">
        <v>212</v>
      </c>
    </row>
    <row r="41" spans="1:7" x14ac:dyDescent="0.25">
      <c r="A41" t="s">
        <v>22</v>
      </c>
      <c r="B41" s="11">
        <v>1.8085544589091771</v>
      </c>
      <c r="C41" s="11">
        <v>0.38465778978751225</v>
      </c>
      <c r="D41" s="11">
        <v>1.0546251909256532</v>
      </c>
      <c r="E41" s="11">
        <v>2.562483726892701</v>
      </c>
      <c r="G41" s="19" t="s">
        <v>213</v>
      </c>
    </row>
    <row r="42" spans="1:7" x14ac:dyDescent="0.25">
      <c r="A42" t="s">
        <v>42</v>
      </c>
      <c r="B42" s="11">
        <v>99.157771402226246</v>
      </c>
      <c r="C42" s="11">
        <v>0.27024123126182609</v>
      </c>
      <c r="D42" s="11">
        <v>98.628098588953065</v>
      </c>
      <c r="E42" s="11">
        <v>99.687444215499426</v>
      </c>
    </row>
    <row r="43" spans="1:7" x14ac:dyDescent="0.25">
      <c r="A43" t="s">
        <v>21</v>
      </c>
      <c r="B43" s="11">
        <v>0.84222859777374337</v>
      </c>
      <c r="C43" s="11">
        <v>0.27094949131405843</v>
      </c>
      <c r="D43" s="11">
        <v>0.3111675947981889</v>
      </c>
      <c r="E43" s="11">
        <v>1.3732896007492978</v>
      </c>
    </row>
    <row r="45" spans="1:7" x14ac:dyDescent="0.25">
      <c r="A45" s="5" t="s">
        <v>108</v>
      </c>
    </row>
    <row r="46" spans="1:7" x14ac:dyDescent="0.25">
      <c r="A46" t="s">
        <v>64</v>
      </c>
      <c r="B46" s="7" t="s">
        <v>65</v>
      </c>
      <c r="C46" s="7" t="s">
        <v>34</v>
      </c>
      <c r="D46" s="14" t="s">
        <v>111</v>
      </c>
      <c r="E46" s="14"/>
    </row>
    <row r="47" spans="1:7" x14ac:dyDescent="0.25">
      <c r="A47" t="s">
        <v>9</v>
      </c>
      <c r="B47" s="11">
        <v>9.3361974811711228</v>
      </c>
      <c r="C47" s="11">
        <v>1.3850653940940325</v>
      </c>
      <c r="D47" s="11">
        <v>6.6214693087468195</v>
      </c>
      <c r="E47" s="11">
        <v>12.050925653595426</v>
      </c>
    </row>
    <row r="48" spans="1:7" x14ac:dyDescent="0.25">
      <c r="A48" s="7" t="s">
        <v>10</v>
      </c>
      <c r="B48" s="11">
        <v>4.939881196058904</v>
      </c>
      <c r="C48" s="11">
        <v>0.92349187550618617</v>
      </c>
      <c r="D48" s="11">
        <v>3.1298371200667789</v>
      </c>
      <c r="E48" s="11">
        <v>6.749925272051029</v>
      </c>
    </row>
    <row r="49" spans="1:7" x14ac:dyDescent="0.25">
      <c r="A49" s="7" t="s">
        <v>101</v>
      </c>
      <c r="B49" s="11">
        <v>4.39121979260144</v>
      </c>
      <c r="C49" s="11">
        <v>1.4151598936878116</v>
      </c>
      <c r="D49" s="11">
        <v>1.6175064009733293</v>
      </c>
      <c r="E49" s="11">
        <v>7.1649331842295503</v>
      </c>
    </row>
    <row r="50" spans="1:7" x14ac:dyDescent="0.25">
      <c r="A50" s="9" t="s">
        <v>126</v>
      </c>
      <c r="B50" s="11">
        <v>3.1274711228983465</v>
      </c>
      <c r="C50" s="11">
        <v>1.3727586302651034</v>
      </c>
      <c r="D50" s="11">
        <v>0.43686420757874389</v>
      </c>
      <c r="E50" s="11">
        <v>5.8180780382179496</v>
      </c>
    </row>
    <row r="51" spans="1:7" x14ac:dyDescent="0.25">
      <c r="A51" s="9" t="s">
        <v>103</v>
      </c>
      <c r="B51" s="11">
        <v>1.2718328697625092</v>
      </c>
      <c r="C51" s="11">
        <v>0.73169850969004369</v>
      </c>
      <c r="D51" s="11">
        <v>0</v>
      </c>
      <c r="E51" s="11">
        <v>2.7059619487549949</v>
      </c>
    </row>
    <row r="52" spans="1:7" x14ac:dyDescent="0.25">
      <c r="A52" t="s">
        <v>11</v>
      </c>
      <c r="B52" s="11">
        <v>90.663802518828888</v>
      </c>
      <c r="C52" s="11">
        <v>1.3852279274331767</v>
      </c>
      <c r="D52" s="11">
        <v>87.948755781059859</v>
      </c>
      <c r="E52" s="11">
        <v>93.378849256597917</v>
      </c>
    </row>
    <row r="53" spans="1:7" x14ac:dyDescent="0.25">
      <c r="A53" s="7" t="s">
        <v>103</v>
      </c>
      <c r="B53" s="11">
        <v>29.255540523067971</v>
      </c>
      <c r="C53" s="11">
        <v>1.9967627066746121</v>
      </c>
      <c r="D53" s="11">
        <v>25.341885617985731</v>
      </c>
      <c r="E53" s="11">
        <v>33.169195428150211</v>
      </c>
      <c r="G53" s="10"/>
    </row>
    <row r="54" spans="1:7" x14ac:dyDescent="0.25">
      <c r="A54" s="7" t="s">
        <v>38</v>
      </c>
      <c r="B54" s="11">
        <v>31.881101504309125</v>
      </c>
      <c r="C54" s="11">
        <v>2.4493872546085962</v>
      </c>
      <c r="D54" s="11">
        <v>27.080302485276277</v>
      </c>
      <c r="E54" s="11">
        <v>36.681900523341973</v>
      </c>
      <c r="G54" s="10"/>
    </row>
    <row r="55" spans="1:7" x14ac:dyDescent="0.25">
      <c r="A55" s="7" t="s">
        <v>104</v>
      </c>
      <c r="B55" s="11">
        <v>11.628035070274464</v>
      </c>
      <c r="C55" s="11">
        <v>1.9639855427352404</v>
      </c>
      <c r="D55" s="11">
        <v>7.7786234065133932</v>
      </c>
      <c r="E55" s="11">
        <v>15.477446734035535</v>
      </c>
      <c r="G55" s="10"/>
    </row>
    <row r="56" spans="1:7" x14ac:dyDescent="0.25">
      <c r="A56" s="9" t="s">
        <v>14</v>
      </c>
      <c r="B56" s="11">
        <v>0.49474718124823946</v>
      </c>
      <c r="C56" s="11">
        <v>0.83012791938181907</v>
      </c>
      <c r="D56" s="11">
        <v>0</v>
      </c>
      <c r="E56" s="11">
        <v>2.121797903236605</v>
      </c>
      <c r="G56" s="10"/>
    </row>
    <row r="57" spans="1:7" x14ac:dyDescent="0.25">
      <c r="A57" s="9" t="s">
        <v>15</v>
      </c>
      <c r="B57" s="11">
        <v>11.139091560753432</v>
      </c>
      <c r="C57" s="11">
        <v>1.8863152945636084</v>
      </c>
      <c r="D57" s="11">
        <v>7.4419135834087591</v>
      </c>
      <c r="E57" s="11">
        <v>14.836269538098104</v>
      </c>
      <c r="G57" s="10"/>
    </row>
    <row r="58" spans="1:7" x14ac:dyDescent="0.25">
      <c r="A58" s="7" t="s">
        <v>105</v>
      </c>
      <c r="B58" s="11">
        <v>17.887966599811904</v>
      </c>
      <c r="C58" s="11">
        <v>1.3210192594154255</v>
      </c>
      <c r="D58" s="11">
        <v>15.29876885135767</v>
      </c>
      <c r="E58" s="11">
        <v>20.477164348266136</v>
      </c>
      <c r="G58" s="10"/>
    </row>
    <row r="59" spans="1:7" x14ac:dyDescent="0.25">
      <c r="A59" s="9" t="s">
        <v>17</v>
      </c>
      <c r="B59" s="11">
        <v>17.035448580580514</v>
      </c>
      <c r="C59" s="11">
        <v>1.2544595095960756</v>
      </c>
      <c r="D59" s="11">
        <v>14.576707941772206</v>
      </c>
      <c r="E59" s="11">
        <v>19.494189219388822</v>
      </c>
      <c r="G59" s="10"/>
    </row>
    <row r="60" spans="1:7" x14ac:dyDescent="0.25">
      <c r="A60" s="9" t="s">
        <v>18</v>
      </c>
      <c r="B60" s="11">
        <v>0.85458932807115029</v>
      </c>
      <c r="C60" s="11">
        <v>0.43086702082043843</v>
      </c>
      <c r="D60" s="11">
        <v>1.0089967263090971E-2</v>
      </c>
      <c r="E60" s="11">
        <v>1.6990886888792096</v>
      </c>
      <c r="G60" s="10"/>
    </row>
    <row r="61" spans="1:7" x14ac:dyDescent="0.25">
      <c r="A61" t="s">
        <v>41</v>
      </c>
      <c r="B61" s="11">
        <v>61.132306047559752</v>
      </c>
      <c r="C61" s="11">
        <v>2.4834051855809673</v>
      </c>
      <c r="D61" s="11">
        <v>56.264831883821053</v>
      </c>
      <c r="E61" s="11">
        <v>65.999780211298443</v>
      </c>
    </row>
    <row r="62" spans="1:7" x14ac:dyDescent="0.25">
      <c r="A62" t="s">
        <v>106</v>
      </c>
      <c r="B62" s="11">
        <v>29.031053156463237</v>
      </c>
      <c r="C62" s="11">
        <v>2.1216562709805888</v>
      </c>
      <c r="D62" s="11">
        <v>24.872606865341282</v>
      </c>
      <c r="E62" s="11">
        <v>33.189499447585192</v>
      </c>
    </row>
    <row r="63" spans="1:7" x14ac:dyDescent="0.25">
      <c r="A63" t="s">
        <v>22</v>
      </c>
      <c r="B63" s="11">
        <v>61.404166491448692</v>
      </c>
      <c r="C63" s="11">
        <v>2.0589198551895653</v>
      </c>
      <c r="D63" s="11">
        <v>57.368683575277146</v>
      </c>
      <c r="E63" s="11">
        <v>65.439649407620237</v>
      </c>
    </row>
    <row r="64" spans="1:7" x14ac:dyDescent="0.25">
      <c r="A64" t="s">
        <v>42</v>
      </c>
      <c r="B64" s="11">
        <v>70.479042417115238</v>
      </c>
      <c r="C64" s="11">
        <v>2.1853725674788911</v>
      </c>
      <c r="D64" s="11">
        <v>66.195712184856617</v>
      </c>
      <c r="E64" s="11">
        <v>74.762372649373859</v>
      </c>
    </row>
    <row r="65" spans="1:5" x14ac:dyDescent="0.25">
      <c r="A65" t="s">
        <v>21</v>
      </c>
      <c r="B65" s="11">
        <v>29.520957582884773</v>
      </c>
      <c r="C65" s="11">
        <v>2.1854220061316827</v>
      </c>
      <c r="D65" s="11">
        <v>25.237530450866675</v>
      </c>
      <c r="E65" s="11">
        <v>33.804384714902874</v>
      </c>
    </row>
  </sheetData>
  <mergeCells count="15">
    <mergeCell ref="BL2:BM2"/>
    <mergeCell ref="BR2:BS2"/>
    <mergeCell ref="BX2:BY2"/>
    <mergeCell ref="AB2:AC2"/>
    <mergeCell ref="AH2:AI2"/>
    <mergeCell ref="AN2:AO2"/>
    <mergeCell ref="AT2:AU2"/>
    <mergeCell ref="AZ2:BA2"/>
    <mergeCell ref="BF2:BG2"/>
    <mergeCell ref="D2:E2"/>
    <mergeCell ref="D24:E24"/>
    <mergeCell ref="D46:E46"/>
    <mergeCell ref="J2:K2"/>
    <mergeCell ref="P2:Q2"/>
    <mergeCell ref="V2:W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CEDB9-E852-41EA-A0FC-E27C92BB7C8C}">
  <dimension ref="A1:BG70"/>
  <sheetViews>
    <sheetView topLeftCell="A16" workbookViewId="0">
      <selection activeCell="G25" sqref="G25:H43"/>
    </sheetView>
  </sheetViews>
  <sheetFormatPr defaultRowHeight="15" x14ac:dyDescent="0.25"/>
  <cols>
    <col min="1" max="1" width="21.85546875" customWidth="1"/>
  </cols>
  <sheetData>
    <row r="1" spans="1:59" x14ac:dyDescent="0.25">
      <c r="A1" s="5" t="s">
        <v>180</v>
      </c>
      <c r="G1" s="12" t="s">
        <v>184</v>
      </c>
      <c r="I1" s="12" t="s">
        <v>110</v>
      </c>
      <c r="M1" s="12" t="s">
        <v>185</v>
      </c>
      <c r="O1" s="12" t="s">
        <v>110</v>
      </c>
      <c r="S1" s="12" t="s">
        <v>186</v>
      </c>
      <c r="U1" s="12" t="s">
        <v>110</v>
      </c>
      <c r="Y1" s="12" t="s">
        <v>187</v>
      </c>
      <c r="AA1" s="12" t="s">
        <v>110</v>
      </c>
      <c r="AE1" s="12" t="s">
        <v>188</v>
      </c>
      <c r="AG1" s="12" t="s">
        <v>110</v>
      </c>
      <c r="AK1" s="12" t="s">
        <v>189</v>
      </c>
      <c r="AM1" s="12" t="s">
        <v>190</v>
      </c>
      <c r="AQ1" s="12" t="s">
        <v>191</v>
      </c>
      <c r="AS1" s="12" t="s">
        <v>110</v>
      </c>
      <c r="AW1" s="12" t="s">
        <v>192</v>
      </c>
      <c r="AY1" s="12" t="s">
        <v>110</v>
      </c>
      <c r="BC1" s="12" t="s">
        <v>193</v>
      </c>
      <c r="BE1" s="12" t="s">
        <v>194</v>
      </c>
    </row>
    <row r="2" spans="1:59" x14ac:dyDescent="0.25">
      <c r="A2" t="s">
        <v>64</v>
      </c>
      <c r="B2" t="s">
        <v>65</v>
      </c>
      <c r="C2" t="s">
        <v>34</v>
      </c>
      <c r="D2" t="s">
        <v>111</v>
      </c>
      <c r="G2" t="s">
        <v>64</v>
      </c>
      <c r="H2" t="s">
        <v>65</v>
      </c>
      <c r="I2" t="s">
        <v>34</v>
      </c>
      <c r="J2" s="14" t="s">
        <v>111</v>
      </c>
      <c r="K2" s="14"/>
      <c r="M2" t="s">
        <v>64</v>
      </c>
      <c r="N2" t="s">
        <v>65</v>
      </c>
      <c r="O2" t="s">
        <v>34</v>
      </c>
      <c r="P2" s="14" t="s">
        <v>111</v>
      </c>
      <c r="Q2" s="14"/>
      <c r="S2" t="s">
        <v>64</v>
      </c>
      <c r="T2" t="s">
        <v>65</v>
      </c>
      <c r="U2" t="s">
        <v>34</v>
      </c>
      <c r="V2" s="14" t="s">
        <v>111</v>
      </c>
      <c r="W2" s="14"/>
      <c r="Y2" t="s">
        <v>64</v>
      </c>
      <c r="Z2" t="s">
        <v>65</v>
      </c>
      <c r="AA2" t="s">
        <v>34</v>
      </c>
      <c r="AB2" s="14" t="s">
        <v>111</v>
      </c>
      <c r="AC2" s="14"/>
      <c r="AE2" t="s">
        <v>64</v>
      </c>
      <c r="AF2" t="s">
        <v>65</v>
      </c>
      <c r="AG2" t="s">
        <v>34</v>
      </c>
      <c r="AH2" s="14" t="s">
        <v>111</v>
      </c>
      <c r="AI2" s="14"/>
      <c r="AK2" t="s">
        <v>64</v>
      </c>
      <c r="AL2" t="s">
        <v>65</v>
      </c>
      <c r="AM2" t="s">
        <v>34</v>
      </c>
      <c r="AN2" s="14" t="s">
        <v>111</v>
      </c>
      <c r="AO2" s="14"/>
      <c r="AQ2" t="s">
        <v>64</v>
      </c>
      <c r="AR2" t="s">
        <v>65</v>
      </c>
      <c r="AS2" t="s">
        <v>34</v>
      </c>
      <c r="AT2" s="14" t="s">
        <v>111</v>
      </c>
      <c r="AU2" s="14"/>
      <c r="AW2" t="s">
        <v>64</v>
      </c>
      <c r="AX2" t="s">
        <v>65</v>
      </c>
      <c r="AY2" t="s">
        <v>34</v>
      </c>
      <c r="AZ2" s="14" t="s">
        <v>111</v>
      </c>
      <c r="BA2" s="14"/>
      <c r="BC2" t="s">
        <v>64</v>
      </c>
      <c r="BD2" t="s">
        <v>65</v>
      </c>
      <c r="BE2" t="s">
        <v>34</v>
      </c>
      <c r="BF2" s="14" t="s">
        <v>111</v>
      </c>
      <c r="BG2" s="14"/>
    </row>
    <row r="3" spans="1:59" x14ac:dyDescent="0.25">
      <c r="A3" t="s">
        <v>9</v>
      </c>
      <c r="B3" s="11">
        <v>76.227814943586665</v>
      </c>
      <c r="C3" s="11">
        <v>1.1749606254606106</v>
      </c>
      <c r="D3" s="11">
        <v>73.924892117683868</v>
      </c>
      <c r="E3" s="11">
        <v>78.530737769489463</v>
      </c>
      <c r="G3" t="s">
        <v>9</v>
      </c>
      <c r="H3" s="11">
        <v>99.575000000000003</v>
      </c>
      <c r="I3" s="11">
        <v>0.64200000000000002</v>
      </c>
      <c r="J3" s="11">
        <v>97.8</v>
      </c>
      <c r="K3" s="11">
        <v>100</v>
      </c>
      <c r="M3" t="s">
        <v>9</v>
      </c>
      <c r="N3" s="11">
        <v>96.581999999999994</v>
      </c>
      <c r="O3" s="11">
        <v>2.5870000000000002</v>
      </c>
      <c r="P3" s="11">
        <v>90.498000000000005</v>
      </c>
      <c r="Q3" s="11">
        <v>99.9</v>
      </c>
      <c r="S3" t="s">
        <v>9</v>
      </c>
      <c r="T3" s="11">
        <v>98.588999999999999</v>
      </c>
      <c r="U3" s="11">
        <v>2.1520000000000001</v>
      </c>
      <c r="V3" s="11">
        <v>92.2</v>
      </c>
      <c r="W3" s="11">
        <v>100</v>
      </c>
      <c r="Y3" t="s">
        <v>9</v>
      </c>
      <c r="Z3" s="11">
        <v>63.954000000000001</v>
      </c>
      <c r="AA3" s="11">
        <v>4.1989999999999998</v>
      </c>
      <c r="AB3" s="11">
        <v>55.5</v>
      </c>
      <c r="AC3" s="11">
        <v>71.802000000000007</v>
      </c>
      <c r="AE3" t="s">
        <v>9</v>
      </c>
      <c r="AF3" s="11">
        <v>31.6</v>
      </c>
      <c r="AG3" s="11">
        <v>4.0999999999999996</v>
      </c>
      <c r="AH3" s="11">
        <v>24</v>
      </c>
      <c r="AI3" s="11">
        <v>40.1</v>
      </c>
      <c r="AK3" t="s">
        <v>9</v>
      </c>
      <c r="AL3" s="11">
        <v>11.5</v>
      </c>
      <c r="AM3" s="11">
        <v>2.7</v>
      </c>
      <c r="AN3" s="11">
        <v>6.6</v>
      </c>
      <c r="AO3" s="11">
        <v>17.3</v>
      </c>
      <c r="AQ3" t="s">
        <v>9</v>
      </c>
      <c r="AR3" s="11">
        <v>3.4950000000000001</v>
      </c>
      <c r="AS3" s="11">
        <v>1.698</v>
      </c>
      <c r="AT3" s="11">
        <v>1</v>
      </c>
      <c r="AU3" s="11">
        <v>7.6</v>
      </c>
      <c r="AW3" t="s">
        <v>9</v>
      </c>
      <c r="AX3" s="11">
        <v>4.2149999999999999</v>
      </c>
      <c r="AY3" s="11">
        <v>1.617</v>
      </c>
      <c r="AZ3" s="11">
        <v>1.7</v>
      </c>
      <c r="BA3" s="11">
        <v>8</v>
      </c>
      <c r="BC3" t="s">
        <v>9</v>
      </c>
      <c r="BD3" s="11">
        <v>5.1109999999999998</v>
      </c>
      <c r="BE3" s="11">
        <v>3.0369999999999999</v>
      </c>
      <c r="BF3" s="11">
        <v>0.3</v>
      </c>
      <c r="BG3" s="11">
        <v>11.9</v>
      </c>
    </row>
    <row r="4" spans="1:59" x14ac:dyDescent="0.25">
      <c r="A4" s="7" t="s">
        <v>10</v>
      </c>
      <c r="B4" s="11">
        <v>55.908515355698725</v>
      </c>
      <c r="C4" s="11">
        <v>3.4898770790426239</v>
      </c>
      <c r="D4" s="11">
        <v>49.068356280775184</v>
      </c>
      <c r="E4" s="11">
        <v>62.748674430622266</v>
      </c>
      <c r="G4" s="7" t="s">
        <v>10</v>
      </c>
      <c r="H4" s="11">
        <v>86.769000000000005</v>
      </c>
      <c r="I4" s="11">
        <v>6.891</v>
      </c>
      <c r="J4" s="11">
        <v>72.8</v>
      </c>
      <c r="K4" s="11">
        <v>99.6</v>
      </c>
      <c r="M4" s="7" t="s">
        <v>10</v>
      </c>
      <c r="N4" s="11">
        <v>66.709000000000003</v>
      </c>
      <c r="O4" s="11">
        <v>7.4619999999999997</v>
      </c>
      <c r="P4" s="11">
        <v>51.9</v>
      </c>
      <c r="Q4" s="11">
        <v>80.8</v>
      </c>
      <c r="S4" s="7" t="s">
        <v>10</v>
      </c>
      <c r="T4" s="11">
        <v>79.203999999999994</v>
      </c>
      <c r="U4" s="11">
        <v>5.3760000000000003</v>
      </c>
      <c r="V4" s="11">
        <v>68.599999999999994</v>
      </c>
      <c r="W4" s="11">
        <v>90</v>
      </c>
      <c r="Y4" s="7" t="s">
        <v>10</v>
      </c>
      <c r="Z4" s="11">
        <v>29.927</v>
      </c>
      <c r="AA4" s="11">
        <v>4.9160000000000004</v>
      </c>
      <c r="AB4" s="11">
        <v>20.5</v>
      </c>
      <c r="AC4" s="11">
        <v>39.9</v>
      </c>
      <c r="AE4" s="7" t="s">
        <v>10</v>
      </c>
      <c r="AF4" s="11">
        <v>15.1</v>
      </c>
      <c r="AG4" s="11">
        <v>3.7</v>
      </c>
      <c r="AH4" s="11">
        <v>8.3000000000000007</v>
      </c>
      <c r="AI4" s="11">
        <v>22.8</v>
      </c>
      <c r="AK4" s="7" t="s">
        <v>10</v>
      </c>
      <c r="AL4" s="11">
        <v>4.2</v>
      </c>
      <c r="AM4" s="11">
        <v>3.6</v>
      </c>
      <c r="AN4" s="15">
        <v>0</v>
      </c>
      <c r="AO4" s="11">
        <v>11.8</v>
      </c>
      <c r="AQ4" s="7" t="s">
        <v>10</v>
      </c>
      <c r="AR4" s="11">
        <v>2.3130000000000002</v>
      </c>
      <c r="AS4" s="11">
        <v>1.397</v>
      </c>
      <c r="AT4" s="11">
        <v>0</v>
      </c>
      <c r="AU4" s="11">
        <v>5.3</v>
      </c>
      <c r="AW4" s="7" t="s">
        <v>10</v>
      </c>
      <c r="AX4" s="11">
        <v>3.1920000000000002</v>
      </c>
      <c r="AY4" s="11">
        <v>1.2430000000000001</v>
      </c>
      <c r="AZ4" s="11">
        <v>1.1000000000000001</v>
      </c>
      <c r="BA4" s="11">
        <v>5.9</v>
      </c>
      <c r="BC4" s="7" t="s">
        <v>10</v>
      </c>
      <c r="BD4" s="11">
        <v>0.59099999999999997</v>
      </c>
      <c r="BE4" s="11">
        <v>0.79200000000000004</v>
      </c>
      <c r="BF4" s="11">
        <v>0</v>
      </c>
      <c r="BG4" s="11">
        <v>2.8</v>
      </c>
    </row>
    <row r="5" spans="1:59" x14ac:dyDescent="0.25">
      <c r="A5" s="7" t="s">
        <v>101</v>
      </c>
      <c r="B5" s="11">
        <v>20.289377512746</v>
      </c>
      <c r="C5" s="11">
        <v>3.6947865087998286</v>
      </c>
      <c r="D5" s="11">
        <v>13.047595955498338</v>
      </c>
      <c r="E5" s="11">
        <v>27.531159069993663</v>
      </c>
      <c r="G5" s="7" t="s">
        <v>101</v>
      </c>
      <c r="H5" s="11">
        <v>12.743</v>
      </c>
      <c r="I5" s="11">
        <v>6.9290000000000003</v>
      </c>
      <c r="J5" s="11">
        <v>0.1</v>
      </c>
      <c r="K5" s="11">
        <v>26.8</v>
      </c>
      <c r="M5" s="7" t="s">
        <v>101</v>
      </c>
      <c r="N5" s="11">
        <v>29.843</v>
      </c>
      <c r="O5" s="11">
        <v>7.9509999999999996</v>
      </c>
      <c r="P5" s="11">
        <v>14.3</v>
      </c>
      <c r="Q5" s="11">
        <v>45.201999999999998</v>
      </c>
      <c r="S5" s="7" t="s">
        <v>101</v>
      </c>
      <c r="T5" s="11">
        <v>19.334</v>
      </c>
      <c r="U5" s="11">
        <v>5.6520000000000001</v>
      </c>
      <c r="V5" s="11">
        <v>8.1</v>
      </c>
      <c r="W5" s="11">
        <v>30.2</v>
      </c>
      <c r="Y5" s="7" t="s">
        <v>101</v>
      </c>
      <c r="Z5" s="11">
        <v>34.026000000000003</v>
      </c>
      <c r="AA5" s="11">
        <v>5.94</v>
      </c>
      <c r="AB5" s="11">
        <v>22.8</v>
      </c>
      <c r="AC5" s="11">
        <v>45.6</v>
      </c>
      <c r="AE5" s="7" t="s">
        <v>101</v>
      </c>
      <c r="AF5" s="11">
        <v>16.5</v>
      </c>
      <c r="AG5" s="11">
        <v>5.0999999999999996</v>
      </c>
      <c r="AH5" s="11">
        <v>7.3</v>
      </c>
      <c r="AI5" s="11">
        <v>26.8</v>
      </c>
      <c r="AK5" s="7" t="s">
        <v>101</v>
      </c>
      <c r="AL5" s="11">
        <v>7.3</v>
      </c>
      <c r="AM5" s="11">
        <v>4.7</v>
      </c>
      <c r="AN5" s="11">
        <v>0</v>
      </c>
      <c r="AO5" s="11">
        <v>15.6</v>
      </c>
      <c r="AQ5" s="7" t="s">
        <v>101</v>
      </c>
      <c r="AR5" s="11">
        <v>1.1839999999999999</v>
      </c>
      <c r="AS5" s="11">
        <v>1.6279999999999999</v>
      </c>
      <c r="AT5" s="11">
        <v>0</v>
      </c>
      <c r="AU5" s="11">
        <v>5.6</v>
      </c>
      <c r="AW5" s="7" t="s">
        <v>101</v>
      </c>
      <c r="AX5" s="11">
        <v>1.0229999999999999</v>
      </c>
      <c r="AY5" s="11">
        <v>1.399</v>
      </c>
      <c r="AZ5" s="11">
        <v>0</v>
      </c>
      <c r="BA5" s="11">
        <v>4.9000000000000004</v>
      </c>
      <c r="BC5" s="7" t="s">
        <v>101</v>
      </c>
      <c r="BD5" s="11">
        <v>4.5220000000000002</v>
      </c>
      <c r="BE5" s="11">
        <v>3.044</v>
      </c>
      <c r="BF5" s="11">
        <v>0</v>
      </c>
      <c r="BG5" s="11">
        <v>11.3</v>
      </c>
    </row>
    <row r="6" spans="1:59" x14ac:dyDescent="0.25">
      <c r="A6" s="9" t="s">
        <v>126</v>
      </c>
      <c r="B6" s="11">
        <v>18.456425302232745</v>
      </c>
      <c r="C6" s="11">
        <v>3.7929427205034094</v>
      </c>
      <c r="D6" s="11">
        <v>11.022257570046062</v>
      </c>
      <c r="E6" s="11">
        <v>25.890593034419428</v>
      </c>
      <c r="G6" s="9" t="s">
        <v>126</v>
      </c>
      <c r="H6" s="11">
        <v>12.419</v>
      </c>
      <c r="I6" s="11">
        <v>7.0410000000000004</v>
      </c>
      <c r="J6" s="11">
        <v>0</v>
      </c>
      <c r="K6" s="11">
        <v>26.5</v>
      </c>
      <c r="M6" s="9" t="s">
        <v>126</v>
      </c>
      <c r="N6" s="11">
        <v>28.446000000000002</v>
      </c>
      <c r="O6" s="11">
        <v>8.1590000000000007</v>
      </c>
      <c r="P6" s="11">
        <v>12.6</v>
      </c>
      <c r="Q6" s="11">
        <v>44.2</v>
      </c>
      <c r="S6" s="9" t="s">
        <v>126</v>
      </c>
      <c r="T6" s="11">
        <v>19.071999999999999</v>
      </c>
      <c r="U6" s="11">
        <v>5.7229999999999999</v>
      </c>
      <c r="V6" s="11">
        <v>7.7</v>
      </c>
      <c r="W6" s="11">
        <v>30.1</v>
      </c>
      <c r="Y6" s="9" t="s">
        <v>126</v>
      </c>
      <c r="Z6" s="11">
        <v>20.84</v>
      </c>
      <c r="AA6" s="11">
        <v>7.1210000000000004</v>
      </c>
      <c r="AB6" s="11">
        <v>7.4</v>
      </c>
      <c r="AC6" s="11">
        <v>35.1</v>
      </c>
      <c r="AE6" s="9" t="s">
        <v>126</v>
      </c>
      <c r="AF6" s="11">
        <v>10</v>
      </c>
      <c r="AG6" s="11">
        <v>5.5</v>
      </c>
      <c r="AH6" s="11">
        <v>0.1</v>
      </c>
      <c r="AI6" s="11">
        <v>21.6</v>
      </c>
      <c r="AK6" s="9" t="s">
        <v>126</v>
      </c>
      <c r="AL6" s="11">
        <v>7.1</v>
      </c>
      <c r="AM6" s="11">
        <v>4.8</v>
      </c>
      <c r="AN6" s="11">
        <v>0</v>
      </c>
      <c r="AO6" s="11">
        <v>15.5</v>
      </c>
      <c r="AQ6" s="9" t="s">
        <v>126</v>
      </c>
      <c r="AR6" s="11">
        <v>1.042</v>
      </c>
      <c r="AS6" s="11">
        <v>1.591</v>
      </c>
      <c r="AT6" s="11">
        <v>0</v>
      </c>
      <c r="AU6" s="11">
        <v>5.5</v>
      </c>
      <c r="AW6" s="9" t="s">
        <v>126</v>
      </c>
      <c r="AX6" s="11">
        <v>0.88</v>
      </c>
      <c r="AY6" s="11">
        <v>1.3220000000000001</v>
      </c>
      <c r="AZ6" s="11">
        <v>0</v>
      </c>
      <c r="BA6" s="11">
        <v>4.5999999999999996</v>
      </c>
      <c r="BC6" s="9" t="s">
        <v>126</v>
      </c>
      <c r="BD6" s="11">
        <v>3.645</v>
      </c>
      <c r="BE6" s="11">
        <v>2.972</v>
      </c>
      <c r="BF6" s="11">
        <v>0</v>
      </c>
      <c r="BG6" s="11">
        <v>10.5</v>
      </c>
    </row>
    <row r="7" spans="1:59" x14ac:dyDescent="0.25">
      <c r="A7" s="9" t="s">
        <v>103</v>
      </c>
      <c r="B7" s="11">
        <v>1.8302933131327759</v>
      </c>
      <c r="C7" s="11">
        <v>0.97966167936134763</v>
      </c>
      <c r="D7" s="11">
        <v>0</v>
      </c>
      <c r="E7" s="11">
        <v>3.7504302046810172</v>
      </c>
      <c r="G7" s="9" t="s">
        <v>103</v>
      </c>
      <c r="H7" s="11">
        <v>0.32300000000000001</v>
      </c>
      <c r="I7" s="11">
        <v>0.93300000000000005</v>
      </c>
      <c r="J7" s="11">
        <v>0</v>
      </c>
      <c r="K7" s="11">
        <v>3.5</v>
      </c>
      <c r="M7" s="9" t="s">
        <v>103</v>
      </c>
      <c r="N7" s="11">
        <v>1.3879999999999999</v>
      </c>
      <c r="O7" s="11">
        <v>2.1160000000000001</v>
      </c>
      <c r="P7" s="11">
        <v>0</v>
      </c>
      <c r="Q7" s="11">
        <v>7</v>
      </c>
      <c r="S7" s="9" t="s">
        <v>103</v>
      </c>
      <c r="T7" s="11">
        <v>0.25700000000000001</v>
      </c>
      <c r="U7" s="11">
        <v>0.75800000000000001</v>
      </c>
      <c r="V7" s="11">
        <v>0</v>
      </c>
      <c r="W7" s="11">
        <v>2.6</v>
      </c>
      <c r="Y7" s="9" t="s">
        <v>103</v>
      </c>
      <c r="Z7" s="11">
        <v>13.188000000000001</v>
      </c>
      <c r="AA7" s="11">
        <v>4.9829999999999997</v>
      </c>
      <c r="AB7" s="11">
        <v>4</v>
      </c>
      <c r="AC7" s="11">
        <v>23</v>
      </c>
      <c r="AE7" s="9" t="s">
        <v>103</v>
      </c>
      <c r="AF7" s="11">
        <v>6.5</v>
      </c>
      <c r="AG7" s="11">
        <v>3.2</v>
      </c>
      <c r="AH7" s="11">
        <v>0</v>
      </c>
      <c r="AI7" s="11">
        <v>13.1</v>
      </c>
      <c r="AK7" s="9" t="s">
        <v>103</v>
      </c>
      <c r="AL7" s="11">
        <v>0.2</v>
      </c>
      <c r="AM7" s="11">
        <v>0.6</v>
      </c>
      <c r="AN7" s="11">
        <v>0</v>
      </c>
      <c r="AO7" s="11">
        <v>2.1</v>
      </c>
      <c r="AQ7" s="9" t="s">
        <v>103</v>
      </c>
      <c r="AR7" s="11">
        <v>0.154</v>
      </c>
      <c r="AS7" s="11">
        <v>0.48499999999999999</v>
      </c>
      <c r="AT7" s="11">
        <v>0</v>
      </c>
      <c r="AU7" s="11">
        <v>1.6</v>
      </c>
      <c r="AW7" s="9" t="s">
        <v>103</v>
      </c>
      <c r="AX7" s="11">
        <v>0.156</v>
      </c>
      <c r="AY7" s="11">
        <v>0.52500000000000002</v>
      </c>
      <c r="AZ7" s="11">
        <v>0</v>
      </c>
      <c r="BA7" s="11">
        <v>1.7</v>
      </c>
      <c r="BC7" s="9" t="s">
        <v>103</v>
      </c>
      <c r="BD7" s="11">
        <v>0.88400000000000001</v>
      </c>
      <c r="BE7" s="11">
        <v>1.6819999999999999</v>
      </c>
      <c r="BF7" s="11">
        <v>0</v>
      </c>
      <c r="BG7" s="11">
        <v>5.9</v>
      </c>
    </row>
    <row r="8" spans="1:59" x14ac:dyDescent="0.25">
      <c r="A8" t="s">
        <v>11</v>
      </c>
      <c r="B8" s="11">
        <v>23.772185056413335</v>
      </c>
      <c r="C8" s="11">
        <v>1.1745588996980467</v>
      </c>
      <c r="D8" s="11">
        <v>21.470049613005163</v>
      </c>
      <c r="E8" s="11">
        <v>26.074320499821507</v>
      </c>
      <c r="G8" t="s">
        <v>11</v>
      </c>
      <c r="H8" s="11">
        <v>0.42499999999999999</v>
      </c>
      <c r="I8" s="11">
        <v>0.64100000000000001</v>
      </c>
      <c r="J8" s="11">
        <v>0</v>
      </c>
      <c r="K8" s="11">
        <v>2.2000000000000002</v>
      </c>
      <c r="M8" t="s">
        <v>11</v>
      </c>
      <c r="N8" s="11">
        <v>3.4180000000000001</v>
      </c>
      <c r="O8" s="11">
        <v>2.5859999999999999</v>
      </c>
      <c r="P8" s="11">
        <v>0</v>
      </c>
      <c r="Q8" s="11">
        <v>9.5</v>
      </c>
      <c r="S8" t="s">
        <v>11</v>
      </c>
      <c r="T8" s="11">
        <v>1.411</v>
      </c>
      <c r="U8" s="11">
        <v>2.1520000000000001</v>
      </c>
      <c r="V8" s="11">
        <v>0</v>
      </c>
      <c r="W8" s="11">
        <v>7.8</v>
      </c>
      <c r="Y8" t="s">
        <v>11</v>
      </c>
      <c r="Z8" s="11">
        <v>36.045999999999999</v>
      </c>
      <c r="AA8" s="11">
        <v>4.1989999999999998</v>
      </c>
      <c r="AB8" s="11">
        <v>28.1</v>
      </c>
      <c r="AC8" s="11">
        <v>44.5</v>
      </c>
      <c r="AE8" t="s">
        <v>11</v>
      </c>
      <c r="AF8" s="11">
        <v>68.400000000000006</v>
      </c>
      <c r="AG8" s="11">
        <v>4.0999999999999996</v>
      </c>
      <c r="AH8" s="11">
        <v>59.8</v>
      </c>
      <c r="AI8" s="11">
        <v>76</v>
      </c>
      <c r="AK8" t="s">
        <v>11</v>
      </c>
      <c r="AL8" s="11">
        <v>88.5</v>
      </c>
      <c r="AM8" s="11">
        <v>2.7</v>
      </c>
      <c r="AN8" s="11">
        <v>82.7</v>
      </c>
      <c r="AO8" s="11">
        <v>93.4</v>
      </c>
      <c r="AQ8" t="s">
        <v>11</v>
      </c>
      <c r="AR8" s="11">
        <v>96.504999999999995</v>
      </c>
      <c r="AS8" s="11">
        <v>1.6990000000000001</v>
      </c>
      <c r="AT8" s="11">
        <v>92.3</v>
      </c>
      <c r="AU8" s="11">
        <v>99</v>
      </c>
      <c r="AW8" t="s">
        <v>11</v>
      </c>
      <c r="AX8" s="11">
        <v>95.784999999999997</v>
      </c>
      <c r="AY8" s="11">
        <v>1.6180000000000001</v>
      </c>
      <c r="AZ8" s="11">
        <v>91.9</v>
      </c>
      <c r="BA8" s="11">
        <v>98.3</v>
      </c>
      <c r="BC8" t="s">
        <v>11</v>
      </c>
      <c r="BD8" s="11">
        <v>94.888999999999996</v>
      </c>
      <c r="BE8" s="11">
        <v>3.0369999999999999</v>
      </c>
      <c r="BF8" s="11">
        <v>88.1</v>
      </c>
      <c r="BG8" s="11">
        <v>99.7</v>
      </c>
    </row>
    <row r="9" spans="1:59" x14ac:dyDescent="0.25">
      <c r="A9" s="7" t="s">
        <v>103</v>
      </c>
      <c r="B9" s="11">
        <v>7.1637629993691636</v>
      </c>
      <c r="C9" s="11">
        <v>0.82781017824355507</v>
      </c>
      <c r="D9" s="11">
        <v>5.5412550500117952</v>
      </c>
      <c r="E9" s="11">
        <v>8.786270948726532</v>
      </c>
      <c r="G9" s="7" t="s">
        <v>103</v>
      </c>
      <c r="H9" s="11">
        <v>0.128</v>
      </c>
      <c r="I9" s="11">
        <v>0.28499999999999998</v>
      </c>
      <c r="J9" s="11">
        <v>0</v>
      </c>
      <c r="K9" s="11">
        <v>0.9</v>
      </c>
      <c r="M9" s="7" t="s">
        <v>103</v>
      </c>
      <c r="N9" s="11">
        <v>1.756</v>
      </c>
      <c r="O9" s="11">
        <v>1.6850000000000001</v>
      </c>
      <c r="P9" s="11">
        <v>0</v>
      </c>
      <c r="Q9" s="11">
        <v>5.8</v>
      </c>
      <c r="S9" s="7" t="s">
        <v>103</v>
      </c>
      <c r="T9" s="11">
        <v>0.19400000000000001</v>
      </c>
      <c r="U9" s="11">
        <v>0.40100000000000002</v>
      </c>
      <c r="V9" s="11">
        <v>0</v>
      </c>
      <c r="W9" s="11">
        <v>1.4</v>
      </c>
      <c r="Y9" s="7" t="s">
        <v>103</v>
      </c>
      <c r="Z9" s="11">
        <v>3.4889999999999999</v>
      </c>
      <c r="AA9" s="11">
        <v>2.6909999999999998</v>
      </c>
      <c r="AB9" s="11">
        <v>0</v>
      </c>
      <c r="AC9" s="11">
        <v>9.3019999999999996</v>
      </c>
      <c r="AE9" s="7" t="s">
        <v>103</v>
      </c>
      <c r="AF9" s="11">
        <v>7.7</v>
      </c>
      <c r="AG9" s="11">
        <v>3.2</v>
      </c>
      <c r="AH9" s="11">
        <v>1.1000000000000001</v>
      </c>
      <c r="AI9" s="11">
        <v>14.4</v>
      </c>
      <c r="AK9" s="7" t="s">
        <v>103</v>
      </c>
      <c r="AL9" s="11">
        <v>16.7</v>
      </c>
      <c r="AM9" s="11">
        <v>3.5</v>
      </c>
      <c r="AN9" s="11">
        <v>10.199999999999999</v>
      </c>
      <c r="AO9" s="11">
        <v>23.9</v>
      </c>
      <c r="AQ9" s="7" t="s">
        <v>103</v>
      </c>
      <c r="AR9" s="11">
        <v>22.763999999999999</v>
      </c>
      <c r="AS9" s="11">
        <v>3.5529999999999999</v>
      </c>
      <c r="AT9" s="11">
        <v>16.2</v>
      </c>
      <c r="AU9" s="11">
        <v>30.001999999999999</v>
      </c>
      <c r="AW9" s="7" t="s">
        <v>103</v>
      </c>
      <c r="AX9" s="11">
        <v>39.65</v>
      </c>
      <c r="AY9" s="11">
        <v>3.8109999999999999</v>
      </c>
      <c r="AZ9" s="11">
        <v>32.200000000000003</v>
      </c>
      <c r="BA9" s="11">
        <v>47.1</v>
      </c>
      <c r="BC9" s="7" t="s">
        <v>103</v>
      </c>
      <c r="BD9" s="11">
        <v>54.378999999999998</v>
      </c>
      <c r="BE9" s="11">
        <v>4.4560000000000004</v>
      </c>
      <c r="BF9" s="11">
        <v>45.5</v>
      </c>
      <c r="BG9" s="11">
        <v>62.9</v>
      </c>
    </row>
    <row r="10" spans="1:59" x14ac:dyDescent="0.25">
      <c r="A10" s="7" t="s">
        <v>38</v>
      </c>
      <c r="B10" s="11">
        <v>8.8992076341561788</v>
      </c>
      <c r="C10" s="11">
        <v>1.0769076785613729</v>
      </c>
      <c r="D10" s="11">
        <v>6.7884685841758881</v>
      </c>
      <c r="E10" s="11">
        <v>11.009946684136469</v>
      </c>
      <c r="G10" s="7" t="s">
        <v>38</v>
      </c>
      <c r="H10" s="11">
        <v>0.18</v>
      </c>
      <c r="I10" s="11">
        <v>0.48699999999999999</v>
      </c>
      <c r="J10" s="11">
        <v>0</v>
      </c>
      <c r="K10" s="11">
        <v>1.7</v>
      </c>
      <c r="M10" s="7" t="s">
        <v>38</v>
      </c>
      <c r="N10" s="11">
        <v>1.3819999999999999</v>
      </c>
      <c r="O10" s="11">
        <v>2.093</v>
      </c>
      <c r="P10" s="11">
        <v>0</v>
      </c>
      <c r="Q10" s="11">
        <v>7.1</v>
      </c>
      <c r="S10" s="7" t="s">
        <v>38</v>
      </c>
      <c r="T10" s="11">
        <v>1.032</v>
      </c>
      <c r="U10" s="11">
        <v>2.105</v>
      </c>
      <c r="V10" s="11">
        <v>0</v>
      </c>
      <c r="W10" s="11">
        <v>7.4</v>
      </c>
      <c r="Y10" s="7" t="s">
        <v>38</v>
      </c>
      <c r="Z10" s="11">
        <v>22.678999999999998</v>
      </c>
      <c r="AA10" s="11">
        <v>4.7610000000000001</v>
      </c>
      <c r="AB10" s="11">
        <v>13.9</v>
      </c>
      <c r="AC10" s="11">
        <v>32.299999999999997</v>
      </c>
      <c r="AE10" s="7" t="s">
        <v>38</v>
      </c>
      <c r="AF10" s="11">
        <v>35.1</v>
      </c>
      <c r="AG10" s="11">
        <v>4.9000000000000004</v>
      </c>
      <c r="AH10" s="11">
        <v>25.6</v>
      </c>
      <c r="AI10" s="11">
        <v>44.8</v>
      </c>
      <c r="AK10" s="7" t="s">
        <v>38</v>
      </c>
      <c r="AL10" s="11">
        <v>39.700000000000003</v>
      </c>
      <c r="AM10" s="11">
        <v>5.9</v>
      </c>
      <c r="AN10" s="11">
        <v>27.8</v>
      </c>
      <c r="AO10" s="11">
        <v>50.8</v>
      </c>
      <c r="AQ10" s="7" t="s">
        <v>38</v>
      </c>
      <c r="AR10" s="11">
        <v>39.159999999999997</v>
      </c>
      <c r="AS10" s="11">
        <v>4.7370000000000001</v>
      </c>
      <c r="AT10" s="11">
        <v>30.1</v>
      </c>
      <c r="AU10" s="11">
        <v>48.5</v>
      </c>
      <c r="AW10" s="7" t="s">
        <v>38</v>
      </c>
      <c r="AX10" s="11">
        <v>16.388999999999999</v>
      </c>
      <c r="AY10" s="11">
        <v>4.3</v>
      </c>
      <c r="AZ10" s="11">
        <v>8.6</v>
      </c>
      <c r="BA10" s="11">
        <v>25.4</v>
      </c>
      <c r="BC10" s="7" t="s">
        <v>38</v>
      </c>
      <c r="BD10" s="11">
        <v>17.347000000000001</v>
      </c>
      <c r="BE10" s="11">
        <v>3.855</v>
      </c>
      <c r="BF10" s="11">
        <v>10.4</v>
      </c>
      <c r="BG10" s="11">
        <v>25.3</v>
      </c>
    </row>
    <row r="11" spans="1:59" x14ac:dyDescent="0.25">
      <c r="A11" s="7" t="s">
        <v>104</v>
      </c>
      <c r="B11" s="11">
        <v>4.2521944243358121</v>
      </c>
      <c r="C11" s="11">
        <v>0.52259988161976756</v>
      </c>
      <c r="D11" s="11">
        <v>3.2278986563610674</v>
      </c>
      <c r="E11" s="11">
        <v>5.2764901923105567</v>
      </c>
      <c r="G11" s="7" t="s">
        <v>104</v>
      </c>
      <c r="H11" s="11">
        <v>0.11899999999999999</v>
      </c>
      <c r="I11" s="11">
        <v>0.28499999999999998</v>
      </c>
      <c r="J11" s="11">
        <v>0</v>
      </c>
      <c r="K11" s="11">
        <v>0.9</v>
      </c>
      <c r="M11" s="7" t="s">
        <v>104</v>
      </c>
      <c r="N11" s="11">
        <v>0.218</v>
      </c>
      <c r="O11" s="11">
        <v>0.45600000000000002</v>
      </c>
      <c r="P11" s="11">
        <v>0</v>
      </c>
      <c r="Q11" s="11">
        <v>1.7</v>
      </c>
      <c r="S11" s="7" t="s">
        <v>104</v>
      </c>
      <c r="T11" s="11">
        <v>0.183</v>
      </c>
      <c r="U11" s="11">
        <v>0.41299999999999998</v>
      </c>
      <c r="V11" s="11">
        <v>0</v>
      </c>
      <c r="W11" s="11">
        <v>1.5</v>
      </c>
      <c r="Y11" s="7" t="s">
        <v>104</v>
      </c>
      <c r="Z11" s="11">
        <v>5.0960000000000001</v>
      </c>
      <c r="AA11" s="11">
        <v>3.3519999999999999</v>
      </c>
      <c r="AB11" s="11">
        <v>0</v>
      </c>
      <c r="AC11" s="11">
        <v>11.8</v>
      </c>
      <c r="AE11" s="7" t="s">
        <v>104</v>
      </c>
      <c r="AF11" s="11">
        <v>14.9</v>
      </c>
      <c r="AG11" s="11">
        <v>4.0999999999999996</v>
      </c>
      <c r="AH11" s="11">
        <v>8.1999999999999993</v>
      </c>
      <c r="AI11" s="11">
        <v>23.8</v>
      </c>
      <c r="AK11" s="7" t="s">
        <v>104</v>
      </c>
      <c r="AL11" s="11">
        <v>18.864999999999998</v>
      </c>
      <c r="AM11" s="11">
        <v>5.3230000000000004</v>
      </c>
      <c r="AN11" s="11">
        <v>9.6</v>
      </c>
      <c r="AO11" s="11">
        <v>30.6</v>
      </c>
      <c r="AQ11" s="7" t="s">
        <v>104</v>
      </c>
      <c r="AR11" s="11">
        <v>14.198</v>
      </c>
      <c r="AS11" s="11">
        <v>3.7589999999999999</v>
      </c>
      <c r="AT11" s="11">
        <v>7.2</v>
      </c>
      <c r="AU11" s="11">
        <v>21.902000000000001</v>
      </c>
      <c r="AW11" s="7" t="s">
        <v>104</v>
      </c>
      <c r="AX11" s="11">
        <v>26.372</v>
      </c>
      <c r="AY11" s="11">
        <v>4.7009999999999996</v>
      </c>
      <c r="AZ11" s="11">
        <v>17.597999999999999</v>
      </c>
      <c r="BA11" s="11">
        <v>35.902000000000001</v>
      </c>
      <c r="BC11" s="7" t="s">
        <v>104</v>
      </c>
      <c r="BD11" s="11">
        <v>15.496</v>
      </c>
      <c r="BE11" s="11">
        <v>3.9470000000000001</v>
      </c>
      <c r="BF11" s="11">
        <v>8.3000000000000007</v>
      </c>
      <c r="BG11" s="11">
        <v>23.7</v>
      </c>
    </row>
    <row r="12" spans="1:59" x14ac:dyDescent="0.25">
      <c r="A12" s="9" t="s">
        <v>14</v>
      </c>
      <c r="B12" s="11">
        <v>0.65548468359928436</v>
      </c>
      <c r="C12" s="11">
        <v>0.31261077978208729</v>
      </c>
      <c r="D12" s="11">
        <v>4.2767555226393306E-2</v>
      </c>
      <c r="E12" s="11">
        <v>1.2682018119721754</v>
      </c>
      <c r="G12" s="9" t="s">
        <v>14</v>
      </c>
      <c r="H12" s="11">
        <v>0.02</v>
      </c>
      <c r="I12" s="11">
        <v>8.3000000000000004E-2</v>
      </c>
      <c r="J12" s="11">
        <v>0</v>
      </c>
      <c r="K12" s="11">
        <v>0.1</v>
      </c>
      <c r="M12" s="9" t="s">
        <v>14</v>
      </c>
      <c r="N12" s="11">
        <v>2.7E-2</v>
      </c>
      <c r="O12" s="11">
        <v>0.12</v>
      </c>
      <c r="P12" s="11">
        <v>0</v>
      </c>
      <c r="Q12" s="11">
        <v>0.3</v>
      </c>
      <c r="S12" s="9" t="s">
        <v>14</v>
      </c>
      <c r="T12" s="11">
        <v>4.5999999999999999E-2</v>
      </c>
      <c r="U12" s="11">
        <v>0.19400000000000001</v>
      </c>
      <c r="V12" s="11">
        <v>0</v>
      </c>
      <c r="W12" s="11">
        <v>0.5</v>
      </c>
      <c r="Y12" s="9" t="s">
        <v>14</v>
      </c>
      <c r="Z12" s="11">
        <v>4.2140000000000004</v>
      </c>
      <c r="AA12" s="11">
        <v>3.2</v>
      </c>
      <c r="AB12" s="11">
        <v>0</v>
      </c>
      <c r="AC12" s="11">
        <v>10.6</v>
      </c>
      <c r="AE12" s="9" t="s">
        <v>14</v>
      </c>
      <c r="AF12" s="11">
        <v>0.3</v>
      </c>
      <c r="AG12" s="11">
        <v>1.2</v>
      </c>
      <c r="AH12" s="11">
        <v>0</v>
      </c>
      <c r="AI12" s="11">
        <v>4</v>
      </c>
      <c r="AK12" s="9" t="s">
        <v>14</v>
      </c>
      <c r="AL12" s="11">
        <v>2.2999999999999998</v>
      </c>
      <c r="AM12" s="11">
        <v>4.5999999999999996</v>
      </c>
      <c r="AN12" s="11">
        <v>0</v>
      </c>
      <c r="AO12" s="11">
        <v>16</v>
      </c>
      <c r="AQ12" s="9" t="s">
        <v>14</v>
      </c>
      <c r="AR12" s="11">
        <v>0.36299999999999999</v>
      </c>
      <c r="AS12" s="11">
        <v>1.1970000000000001</v>
      </c>
      <c r="AT12" s="11">
        <v>0</v>
      </c>
      <c r="AU12" s="11">
        <v>4.4000000000000004</v>
      </c>
      <c r="AW12" s="9" t="s">
        <v>14</v>
      </c>
      <c r="AX12" s="11">
        <v>6.4889999999999999</v>
      </c>
      <c r="AY12" s="11">
        <v>3.7240000000000002</v>
      </c>
      <c r="AZ12" s="11">
        <v>0.2</v>
      </c>
      <c r="BA12" s="11">
        <v>14.5</v>
      </c>
      <c r="BC12" s="9" t="s">
        <v>14</v>
      </c>
      <c r="BD12" s="11">
        <v>6.8000000000000005E-2</v>
      </c>
      <c r="BE12" s="11">
        <v>0.33300000000000002</v>
      </c>
      <c r="BF12" s="11">
        <v>0</v>
      </c>
      <c r="BG12" s="11">
        <v>0.7</v>
      </c>
    </row>
    <row r="13" spans="1:59" x14ac:dyDescent="0.25">
      <c r="A13" s="9" t="s">
        <v>15</v>
      </c>
      <c r="B13" s="11">
        <v>3.5997380539210111</v>
      </c>
      <c r="C13" s="11">
        <v>0.46151126190982722</v>
      </c>
      <c r="D13" s="11">
        <v>2.6951759805777495</v>
      </c>
      <c r="E13" s="11">
        <v>4.5043001272642726</v>
      </c>
      <c r="G13" s="9" t="s">
        <v>15</v>
      </c>
      <c r="H13" s="11">
        <v>0.106</v>
      </c>
      <c r="I13" s="11">
        <v>0.27400000000000002</v>
      </c>
      <c r="J13" s="11">
        <v>0</v>
      </c>
      <c r="K13" s="11">
        <v>0.9</v>
      </c>
      <c r="M13" s="9" t="s">
        <v>15</v>
      </c>
      <c r="N13" s="11">
        <v>0.19600000000000001</v>
      </c>
      <c r="O13" s="11">
        <v>0.441</v>
      </c>
      <c r="P13" s="11">
        <v>0</v>
      </c>
      <c r="Q13" s="11">
        <v>1.6</v>
      </c>
      <c r="S13" s="9" t="s">
        <v>15</v>
      </c>
      <c r="T13" s="11">
        <v>0.14299999999999999</v>
      </c>
      <c r="U13" s="11">
        <v>0.36899999999999999</v>
      </c>
      <c r="V13" s="11">
        <v>0</v>
      </c>
      <c r="W13" s="11">
        <v>1.2</v>
      </c>
      <c r="Y13" s="9" t="s">
        <v>15</v>
      </c>
      <c r="Z13" s="11">
        <v>0.88900000000000001</v>
      </c>
      <c r="AA13" s="11">
        <v>1.425</v>
      </c>
      <c r="AB13" s="11">
        <v>0</v>
      </c>
      <c r="AC13" s="11">
        <v>5</v>
      </c>
      <c r="AE13" s="9" t="s">
        <v>15</v>
      </c>
      <c r="AF13" s="11">
        <v>14.6</v>
      </c>
      <c r="AG13" s="11">
        <v>3.9</v>
      </c>
      <c r="AH13" s="11">
        <v>7.7</v>
      </c>
      <c r="AI13" s="11">
        <v>22.8</v>
      </c>
      <c r="AK13" s="9" t="s">
        <v>15</v>
      </c>
      <c r="AL13" s="11">
        <v>16.5</v>
      </c>
      <c r="AM13" s="11">
        <v>4.8</v>
      </c>
      <c r="AN13" s="11">
        <v>7.5</v>
      </c>
      <c r="AO13" s="11">
        <v>26.4</v>
      </c>
      <c r="AQ13" s="9" t="s">
        <v>15</v>
      </c>
      <c r="AR13" s="11">
        <v>13.840999999999999</v>
      </c>
      <c r="AS13" s="11">
        <v>3.657</v>
      </c>
      <c r="AT13" s="11">
        <v>7.1</v>
      </c>
      <c r="AU13" s="11">
        <v>21.3</v>
      </c>
      <c r="AW13" s="9" t="s">
        <v>15</v>
      </c>
      <c r="AX13" s="11">
        <v>19.876999999999999</v>
      </c>
      <c r="AY13" s="11">
        <v>4.2409999999999997</v>
      </c>
      <c r="AZ13" s="11">
        <v>12</v>
      </c>
      <c r="BA13" s="11">
        <v>28.6</v>
      </c>
      <c r="BC13" s="9" t="s">
        <v>15</v>
      </c>
      <c r="BD13" s="11">
        <v>15.435</v>
      </c>
      <c r="BE13" s="11">
        <v>3.944</v>
      </c>
      <c r="BF13" s="11">
        <v>8.1999999999999993</v>
      </c>
      <c r="BG13" s="11">
        <v>23.7</v>
      </c>
    </row>
    <row r="14" spans="1:59" x14ac:dyDescent="0.25">
      <c r="A14" s="7" t="s">
        <v>105</v>
      </c>
      <c r="B14" s="11">
        <v>3.4828048155578766</v>
      </c>
      <c r="C14" s="11">
        <v>0.29113521133128711</v>
      </c>
      <c r="D14" s="11">
        <v>2.9121798013485538</v>
      </c>
      <c r="E14" s="11">
        <v>4.0534298297671993</v>
      </c>
      <c r="G14" s="7" t="s">
        <v>105</v>
      </c>
      <c r="H14" s="11">
        <v>0.05</v>
      </c>
      <c r="I14" s="11">
        <v>0.128</v>
      </c>
      <c r="J14" s="11">
        <v>0</v>
      </c>
      <c r="K14" s="11">
        <v>0.4</v>
      </c>
      <c r="M14" s="7" t="s">
        <v>105</v>
      </c>
      <c r="N14" s="11">
        <v>9.0999999999999998E-2</v>
      </c>
      <c r="O14" s="11">
        <v>0.221</v>
      </c>
      <c r="P14" s="11">
        <v>0</v>
      </c>
      <c r="Q14" s="11">
        <v>0.8</v>
      </c>
      <c r="S14" s="7" t="s">
        <v>105</v>
      </c>
      <c r="T14" s="11">
        <v>4.8000000000000001E-2</v>
      </c>
      <c r="U14" s="11">
        <v>0.128</v>
      </c>
      <c r="V14" s="11">
        <v>0</v>
      </c>
      <c r="W14" s="11">
        <v>0.3</v>
      </c>
      <c r="Y14" s="7" t="s">
        <v>105</v>
      </c>
      <c r="Z14" s="11">
        <v>4.7670000000000003</v>
      </c>
      <c r="AA14" s="11">
        <v>1.363</v>
      </c>
      <c r="AB14" s="11">
        <v>2.4</v>
      </c>
      <c r="AC14" s="11">
        <v>7.7</v>
      </c>
      <c r="AE14" s="7" t="s">
        <v>105</v>
      </c>
      <c r="AF14" s="11">
        <v>10.7</v>
      </c>
      <c r="AG14" s="11">
        <v>2</v>
      </c>
      <c r="AH14" s="11">
        <v>7.1</v>
      </c>
      <c r="AI14" s="11">
        <v>14.9</v>
      </c>
      <c r="AK14" s="7" t="s">
        <v>105</v>
      </c>
      <c r="AL14" s="11">
        <v>13.3</v>
      </c>
      <c r="AM14" s="11">
        <v>2.5</v>
      </c>
      <c r="AN14" s="11">
        <v>8.9</v>
      </c>
      <c r="AO14" s="11">
        <v>18.399999999999999</v>
      </c>
      <c r="AQ14" s="7" t="s">
        <v>105</v>
      </c>
      <c r="AR14" s="11">
        <v>20.369</v>
      </c>
      <c r="AS14" s="11">
        <v>2.7549999999999999</v>
      </c>
      <c r="AT14" s="11">
        <v>15.2</v>
      </c>
      <c r="AU14" s="11">
        <v>25.9</v>
      </c>
      <c r="AW14" s="7" t="s">
        <v>105</v>
      </c>
      <c r="AX14" s="11">
        <v>13.361000000000001</v>
      </c>
      <c r="AY14" s="11">
        <v>2.2010000000000001</v>
      </c>
      <c r="AZ14" s="11">
        <v>9.3000000000000007</v>
      </c>
      <c r="BA14" s="11">
        <v>17.899999999999999</v>
      </c>
      <c r="BC14" s="7" t="s">
        <v>105</v>
      </c>
      <c r="BD14" s="11">
        <v>7.65</v>
      </c>
      <c r="BE14" s="11">
        <v>2.1469999999999998</v>
      </c>
      <c r="BF14" s="11">
        <v>4.0999999999999996</v>
      </c>
      <c r="BG14" s="11">
        <v>12.4</v>
      </c>
    </row>
    <row r="15" spans="1:59" x14ac:dyDescent="0.25">
      <c r="A15" s="9" t="s">
        <v>17</v>
      </c>
      <c r="B15" s="11">
        <v>3.2544574599005145</v>
      </c>
      <c r="C15" s="11">
        <v>0.27202760996490366</v>
      </c>
      <c r="D15" s="11">
        <v>2.7212833443693034</v>
      </c>
      <c r="E15" s="11">
        <v>3.7876315754317256</v>
      </c>
      <c r="G15" s="9" t="s">
        <v>17</v>
      </c>
      <c r="H15" s="11">
        <v>3.3000000000000002E-2</v>
      </c>
      <c r="I15" s="11">
        <v>0.1</v>
      </c>
      <c r="J15" s="11">
        <v>0</v>
      </c>
      <c r="K15" s="11">
        <v>0.3</v>
      </c>
      <c r="M15" s="9" t="s">
        <v>17</v>
      </c>
      <c r="N15" s="11">
        <v>0.08</v>
      </c>
      <c r="O15" s="11">
        <v>0.216</v>
      </c>
      <c r="P15" s="11">
        <v>0</v>
      </c>
      <c r="Q15" s="11">
        <v>0.7</v>
      </c>
      <c r="S15" s="9" t="s">
        <v>17</v>
      </c>
      <c r="T15" s="11">
        <v>3.5000000000000003E-2</v>
      </c>
      <c r="U15" s="11">
        <v>0.105</v>
      </c>
      <c r="V15" s="11">
        <v>0</v>
      </c>
      <c r="W15" s="11">
        <v>0.3</v>
      </c>
      <c r="Y15" s="9" t="s">
        <v>17</v>
      </c>
      <c r="Z15" s="11">
        <v>4.7560000000000002</v>
      </c>
      <c r="AA15" s="11">
        <v>1.3620000000000001</v>
      </c>
      <c r="AB15" s="11">
        <v>2.4</v>
      </c>
      <c r="AC15" s="11">
        <v>7.7</v>
      </c>
      <c r="AE15" s="9" t="s">
        <v>17</v>
      </c>
      <c r="AF15" s="11">
        <v>10.6</v>
      </c>
      <c r="AG15" s="11">
        <v>2</v>
      </c>
      <c r="AH15" s="11">
        <v>7.1</v>
      </c>
      <c r="AI15" s="11">
        <v>14.8</v>
      </c>
      <c r="AK15" s="9" t="s">
        <v>17</v>
      </c>
      <c r="AL15" s="11">
        <v>13.2</v>
      </c>
      <c r="AM15" s="11">
        <v>2.5</v>
      </c>
      <c r="AN15" s="11">
        <v>8.8000000000000007</v>
      </c>
      <c r="AO15" s="11">
        <v>18.399999999999999</v>
      </c>
      <c r="AQ15" s="9" t="s">
        <v>17</v>
      </c>
      <c r="AR15" s="11">
        <v>17.911999999999999</v>
      </c>
      <c r="AS15" s="11">
        <v>2.4849999999999999</v>
      </c>
      <c r="AT15" s="11">
        <v>13.3</v>
      </c>
      <c r="AU15" s="11">
        <v>22.9</v>
      </c>
      <c r="AW15" s="9" t="s">
        <v>17</v>
      </c>
      <c r="AX15" s="11">
        <v>13.334</v>
      </c>
      <c r="AY15" s="11">
        <v>2.1970000000000001</v>
      </c>
      <c r="AZ15" s="11">
        <v>9.3000000000000007</v>
      </c>
      <c r="BA15" s="11">
        <v>17.899999999999999</v>
      </c>
      <c r="BC15" s="9" t="s">
        <v>17</v>
      </c>
      <c r="BD15" s="11">
        <v>6.9480000000000004</v>
      </c>
      <c r="BE15" s="11">
        <v>1.794</v>
      </c>
      <c r="BF15" s="11">
        <v>3.8</v>
      </c>
      <c r="BG15" s="11">
        <v>10.8</v>
      </c>
    </row>
    <row r="16" spans="1:59" x14ac:dyDescent="0.25">
      <c r="A16" s="9" t="s">
        <v>18</v>
      </c>
      <c r="B16" s="11">
        <v>0.23051943493593394</v>
      </c>
      <c r="C16" s="11">
        <v>0.11373408461775009</v>
      </c>
      <c r="D16" s="11">
        <v>7.6006290851437786E-3</v>
      </c>
      <c r="E16" s="11">
        <v>0.45343824078672412</v>
      </c>
      <c r="G16" s="9" t="s">
        <v>18</v>
      </c>
      <c r="H16" s="11">
        <v>2.1000000000000001E-2</v>
      </c>
      <c r="I16" s="11">
        <v>8.4000000000000005E-2</v>
      </c>
      <c r="J16" s="11">
        <v>0</v>
      </c>
      <c r="K16" s="11">
        <v>0.2</v>
      </c>
      <c r="M16" s="9" t="s">
        <v>18</v>
      </c>
      <c r="N16" s="11">
        <v>1.6E-2</v>
      </c>
      <c r="O16" s="11">
        <v>6.0999999999999999E-2</v>
      </c>
      <c r="P16" s="11">
        <v>0</v>
      </c>
      <c r="Q16" s="11">
        <v>0.1</v>
      </c>
      <c r="S16" s="9" t="s">
        <v>18</v>
      </c>
      <c r="T16" s="11">
        <v>1.7000000000000001E-2</v>
      </c>
      <c r="U16" s="11">
        <v>7.9000000000000001E-2</v>
      </c>
      <c r="V16" s="11">
        <v>0</v>
      </c>
      <c r="W16" s="11">
        <v>0.1</v>
      </c>
      <c r="Y16" s="9" t="s">
        <v>18</v>
      </c>
      <c r="Z16" s="11">
        <v>1.9E-2</v>
      </c>
      <c r="AA16" s="11">
        <v>7.8E-2</v>
      </c>
      <c r="AB16" s="11">
        <v>0</v>
      </c>
      <c r="AC16" s="11">
        <v>0.1</v>
      </c>
      <c r="AE16" s="9" t="s">
        <v>18</v>
      </c>
      <c r="AF16" s="11">
        <v>0.1</v>
      </c>
      <c r="AG16" s="11">
        <v>0.2</v>
      </c>
      <c r="AH16" s="11">
        <v>0</v>
      </c>
      <c r="AI16" s="11">
        <v>0.5</v>
      </c>
      <c r="AK16" s="9" t="s">
        <v>18</v>
      </c>
      <c r="AL16" s="11">
        <v>4.9000000000000002E-2</v>
      </c>
      <c r="AM16" s="11">
        <v>0.20399999999999999</v>
      </c>
      <c r="AN16" s="11">
        <v>0</v>
      </c>
      <c r="AO16" s="11">
        <v>0.6</v>
      </c>
      <c r="AQ16" s="9" t="s">
        <v>18</v>
      </c>
      <c r="AR16" s="11">
        <v>2.452</v>
      </c>
      <c r="AS16" s="11">
        <v>1.3149999999999999</v>
      </c>
      <c r="AT16" s="11">
        <v>0</v>
      </c>
      <c r="AU16" s="11">
        <v>5.3</v>
      </c>
      <c r="AW16" s="9" t="s">
        <v>18</v>
      </c>
      <c r="AX16" s="11">
        <v>3.4000000000000002E-2</v>
      </c>
      <c r="AY16" s="11">
        <v>0.14899999999999999</v>
      </c>
      <c r="AZ16" s="11">
        <v>0</v>
      </c>
      <c r="BA16" s="11">
        <v>0.4</v>
      </c>
      <c r="BC16" s="9" t="s">
        <v>18</v>
      </c>
      <c r="BD16" s="11">
        <v>0.70299999999999996</v>
      </c>
      <c r="BE16" s="11">
        <v>1.1839999999999999</v>
      </c>
      <c r="BF16" s="11">
        <v>0</v>
      </c>
      <c r="BG16" s="11">
        <v>4</v>
      </c>
    </row>
    <row r="17" spans="1:59" x14ac:dyDescent="0.25">
      <c r="A17" t="s">
        <v>41</v>
      </c>
      <c r="B17" s="11">
        <v>16.051153990299593</v>
      </c>
      <c r="C17" s="11">
        <v>1.2619261264456942</v>
      </c>
      <c r="D17" s="11">
        <v>13.577778782466032</v>
      </c>
      <c r="E17" s="11">
        <v>18.524529198133152</v>
      </c>
      <c r="G17" t="s">
        <v>41</v>
      </c>
      <c r="H17" s="11">
        <v>0.29099999999999998</v>
      </c>
      <c r="I17" s="11">
        <v>0.56599999999999995</v>
      </c>
      <c r="J17" s="11">
        <v>0</v>
      </c>
      <c r="K17" s="11">
        <v>1.9</v>
      </c>
      <c r="M17" t="s">
        <v>41</v>
      </c>
      <c r="N17" s="11">
        <v>3.13</v>
      </c>
      <c r="O17" s="11">
        <v>2.573</v>
      </c>
      <c r="P17" s="11">
        <v>0</v>
      </c>
      <c r="Q17" s="11">
        <v>9.1999999999999993</v>
      </c>
      <c r="S17" t="s">
        <v>41</v>
      </c>
      <c r="T17" s="11">
        <v>1.2110000000000001</v>
      </c>
      <c r="U17" s="11">
        <v>2.125</v>
      </c>
      <c r="V17" s="11">
        <v>0</v>
      </c>
      <c r="W17" s="11">
        <v>7.6</v>
      </c>
      <c r="Y17" t="s">
        <v>41</v>
      </c>
      <c r="Z17" s="11">
        <v>26.164999999999999</v>
      </c>
      <c r="AA17" s="11">
        <v>5.1929999999999996</v>
      </c>
      <c r="AB17" s="11">
        <v>16.399999999999999</v>
      </c>
      <c r="AC17" s="11">
        <v>36.700000000000003</v>
      </c>
      <c r="AE17" t="s">
        <v>41</v>
      </c>
      <c r="AF17" s="11">
        <v>42.8</v>
      </c>
      <c r="AG17" s="11">
        <v>5.2</v>
      </c>
      <c r="AH17" s="11">
        <v>32.5</v>
      </c>
      <c r="AI17" s="11">
        <v>53.1</v>
      </c>
      <c r="AK17" t="s">
        <v>41</v>
      </c>
      <c r="AL17" s="11">
        <v>56.3</v>
      </c>
      <c r="AM17" s="11">
        <v>5.9</v>
      </c>
      <c r="AN17" s="11">
        <v>44.3</v>
      </c>
      <c r="AO17" s="11">
        <v>67.3</v>
      </c>
      <c r="AQ17" t="s">
        <v>41</v>
      </c>
      <c r="AR17" s="11">
        <v>61.920999999999999</v>
      </c>
      <c r="AS17" s="11">
        <v>4.4989999999999997</v>
      </c>
      <c r="AT17" s="11">
        <v>53.1</v>
      </c>
      <c r="AU17" s="11">
        <v>70.400000000000006</v>
      </c>
      <c r="AW17" t="s">
        <v>41</v>
      </c>
      <c r="AX17" s="11">
        <v>56.037999999999997</v>
      </c>
      <c r="AY17" s="11">
        <v>4.9249999999999998</v>
      </c>
      <c r="AZ17" s="11">
        <v>46.2</v>
      </c>
      <c r="BA17" s="11">
        <v>65.5</v>
      </c>
      <c r="BC17" t="s">
        <v>41</v>
      </c>
      <c r="BD17" s="11">
        <v>71.724000000000004</v>
      </c>
      <c r="BE17" s="11">
        <v>4.8479999999999999</v>
      </c>
      <c r="BF17" s="11">
        <v>61.9</v>
      </c>
      <c r="BG17" s="11">
        <v>80.900000000000006</v>
      </c>
    </row>
    <row r="18" spans="1:59" x14ac:dyDescent="0.25">
      <c r="A18" t="s">
        <v>106</v>
      </c>
      <c r="B18" s="11">
        <v>7.0741883962273917</v>
      </c>
      <c r="C18" s="11">
        <v>0.51775372917187812</v>
      </c>
      <c r="D18" s="11">
        <v>6.0593910870505105</v>
      </c>
      <c r="E18" s="11">
        <v>8.0889857054042729</v>
      </c>
      <c r="G18" t="s">
        <v>106</v>
      </c>
      <c r="H18" s="11">
        <v>0.14199999999999999</v>
      </c>
      <c r="I18" s="11">
        <v>0.29799999999999999</v>
      </c>
      <c r="J18" s="11">
        <v>0</v>
      </c>
      <c r="K18" s="11">
        <v>1</v>
      </c>
      <c r="M18" t="s">
        <v>106</v>
      </c>
      <c r="N18" s="11">
        <v>0.27500000000000002</v>
      </c>
      <c r="O18" s="11">
        <v>0.502</v>
      </c>
      <c r="P18" s="11">
        <v>0</v>
      </c>
      <c r="Q18" s="11">
        <v>1.8</v>
      </c>
      <c r="S18" t="s">
        <v>106</v>
      </c>
      <c r="T18" s="11">
        <v>0.17799999999999999</v>
      </c>
      <c r="U18" s="11">
        <v>0.38800000000000001</v>
      </c>
      <c r="V18" s="11">
        <v>0</v>
      </c>
      <c r="W18" s="11">
        <v>1.3</v>
      </c>
      <c r="Y18" t="s">
        <v>106</v>
      </c>
      <c r="Z18" s="11">
        <v>5.6520000000000001</v>
      </c>
      <c r="AA18" s="11">
        <v>1.97</v>
      </c>
      <c r="AB18" s="11">
        <v>2.6</v>
      </c>
      <c r="AC18" s="11">
        <v>10.3</v>
      </c>
      <c r="AE18" t="s">
        <v>106</v>
      </c>
      <c r="AF18" s="11">
        <v>25.3</v>
      </c>
      <c r="AG18" s="11">
        <v>4.0999999999999996</v>
      </c>
      <c r="AH18" s="11">
        <v>17.600000000000001</v>
      </c>
      <c r="AI18" s="11">
        <v>33.9</v>
      </c>
      <c r="AK18" t="s">
        <v>106</v>
      </c>
      <c r="AL18" s="11">
        <v>29.8</v>
      </c>
      <c r="AM18" s="11">
        <v>5.3</v>
      </c>
      <c r="AN18" s="11">
        <v>19.8</v>
      </c>
      <c r="AO18" s="11">
        <v>40.4</v>
      </c>
      <c r="AQ18" t="s">
        <v>106</v>
      </c>
      <c r="AR18" s="11">
        <v>34.216000000000001</v>
      </c>
      <c r="AS18" s="11">
        <v>4.1769999999999996</v>
      </c>
      <c r="AT18" s="11">
        <v>26.1</v>
      </c>
      <c r="AU18" s="11">
        <v>42.5</v>
      </c>
      <c r="AW18" t="s">
        <v>106</v>
      </c>
      <c r="AX18" s="11">
        <v>33.243000000000002</v>
      </c>
      <c r="AY18" s="11">
        <v>4.5229999999999997</v>
      </c>
      <c r="AZ18" s="11">
        <v>24.6</v>
      </c>
      <c r="BA18" s="11">
        <v>42.1</v>
      </c>
      <c r="BC18" t="s">
        <v>106</v>
      </c>
      <c r="BD18" s="11">
        <v>23.094000000000001</v>
      </c>
      <c r="BE18" s="11">
        <v>4.1970000000000001</v>
      </c>
      <c r="BF18" s="11">
        <v>15.3</v>
      </c>
      <c r="BG18" s="11">
        <v>31.8</v>
      </c>
    </row>
    <row r="19" spans="1:59" x14ac:dyDescent="0.25">
      <c r="A19" t="s">
        <v>22</v>
      </c>
      <c r="B19" s="11">
        <v>16.613970793302791</v>
      </c>
      <c r="C19" s="11">
        <v>1.0374868122961514</v>
      </c>
      <c r="D19" s="11">
        <v>14.580496641202334</v>
      </c>
      <c r="E19" s="11">
        <v>18.647444945403247</v>
      </c>
      <c r="G19" t="s">
        <v>22</v>
      </c>
      <c r="H19" s="11">
        <v>0.317</v>
      </c>
      <c r="I19" s="11">
        <v>0.57299999999999995</v>
      </c>
      <c r="J19" s="11">
        <v>0</v>
      </c>
      <c r="K19" s="11">
        <v>2</v>
      </c>
      <c r="M19" t="s">
        <v>22</v>
      </c>
      <c r="N19" s="11">
        <v>1.6639999999999999</v>
      </c>
      <c r="O19" s="11">
        <v>2.1259999999999999</v>
      </c>
      <c r="P19" s="11">
        <v>0</v>
      </c>
      <c r="Q19" s="11">
        <v>7.4</v>
      </c>
      <c r="S19" t="s">
        <v>22</v>
      </c>
      <c r="T19" s="11">
        <v>1.2330000000000001</v>
      </c>
      <c r="U19" s="11">
        <v>2.1320000000000001</v>
      </c>
      <c r="V19" s="11">
        <v>0</v>
      </c>
      <c r="W19" s="11">
        <v>7.6</v>
      </c>
      <c r="Y19" t="s">
        <v>22</v>
      </c>
      <c r="Z19" s="11">
        <v>32.552</v>
      </c>
      <c r="AA19" s="11">
        <v>3.8260000000000001</v>
      </c>
      <c r="AB19" s="11">
        <v>25.5</v>
      </c>
      <c r="AC19" s="11">
        <v>40.402000000000001</v>
      </c>
      <c r="AE19" t="s">
        <v>22</v>
      </c>
      <c r="AF19" s="11">
        <v>60.7</v>
      </c>
      <c r="AG19" s="11">
        <v>4</v>
      </c>
      <c r="AH19" s="11">
        <v>52.6</v>
      </c>
      <c r="AI19" s="11">
        <v>68.400000000000006</v>
      </c>
      <c r="AK19" t="s">
        <v>22</v>
      </c>
      <c r="AL19" s="11">
        <v>71.8</v>
      </c>
      <c r="AM19" s="11">
        <v>3.8</v>
      </c>
      <c r="AN19" s="11">
        <v>64.3</v>
      </c>
      <c r="AO19" s="11">
        <v>79.099999999999994</v>
      </c>
      <c r="AQ19" t="s">
        <v>22</v>
      </c>
      <c r="AR19" s="11">
        <v>73.736000000000004</v>
      </c>
      <c r="AS19" s="11">
        <v>3.7130000000000001</v>
      </c>
      <c r="AT19" s="11">
        <v>66.099999999999994</v>
      </c>
      <c r="AU19" s="11">
        <v>80.7</v>
      </c>
      <c r="AW19" t="s">
        <v>22</v>
      </c>
      <c r="AX19" s="11">
        <v>56.134</v>
      </c>
      <c r="AY19" s="11">
        <v>3.8210000000000002</v>
      </c>
      <c r="AZ19" s="11">
        <v>48.7</v>
      </c>
      <c r="BA19" s="11">
        <v>63.6</v>
      </c>
      <c r="BC19" t="s">
        <v>22</v>
      </c>
      <c r="BD19" s="11">
        <v>40.508000000000003</v>
      </c>
      <c r="BE19" s="11">
        <v>4.25</v>
      </c>
      <c r="BF19" s="11">
        <v>32.4</v>
      </c>
      <c r="BG19" s="11">
        <v>48.9</v>
      </c>
    </row>
    <row r="20" spans="1:59" x14ac:dyDescent="0.25">
      <c r="A20" s="12" t="s">
        <v>181</v>
      </c>
      <c r="B20" s="11">
        <v>9.5459153215715062</v>
      </c>
      <c r="C20" s="11">
        <v>1.0612926455482332</v>
      </c>
      <c r="D20" s="11">
        <v>7.4657817362969698</v>
      </c>
      <c r="E20" s="11">
        <v>11.626048906846043</v>
      </c>
      <c r="G20" t="s">
        <v>181</v>
      </c>
      <c r="H20" s="11">
        <v>0.19400000000000001</v>
      </c>
      <c r="I20" s="11">
        <v>0.49199999999999999</v>
      </c>
      <c r="J20" s="11">
        <v>0</v>
      </c>
      <c r="K20" s="11">
        <v>1.7</v>
      </c>
      <c r="M20" s="12" t="s">
        <v>181</v>
      </c>
      <c r="N20" s="11">
        <v>1.403</v>
      </c>
      <c r="O20" s="11">
        <v>2.101</v>
      </c>
      <c r="P20" s="11">
        <v>0</v>
      </c>
      <c r="Q20" s="11">
        <v>7.1</v>
      </c>
      <c r="S20" s="12" t="s">
        <v>181</v>
      </c>
      <c r="T20" s="11">
        <v>1.0720000000000001</v>
      </c>
      <c r="U20" s="11">
        <v>2.11</v>
      </c>
      <c r="V20" s="11">
        <v>0</v>
      </c>
      <c r="W20" s="11">
        <v>7.5</v>
      </c>
      <c r="Y20" s="12" t="s">
        <v>181</v>
      </c>
      <c r="Z20" s="11">
        <v>26.888999999999999</v>
      </c>
      <c r="AA20" s="11">
        <v>3.8620000000000001</v>
      </c>
      <c r="AB20" s="11">
        <v>19.600000000000001</v>
      </c>
      <c r="AC20" s="11">
        <v>34.799999999999997</v>
      </c>
      <c r="AE20" s="12" t="s">
        <v>181</v>
      </c>
      <c r="AF20" s="11">
        <v>35.4</v>
      </c>
      <c r="AG20" s="11">
        <v>4.9000000000000004</v>
      </c>
      <c r="AH20" s="11">
        <v>26.2</v>
      </c>
      <c r="AI20" s="11">
        <v>45</v>
      </c>
      <c r="AK20" s="12" t="s">
        <v>181</v>
      </c>
      <c r="AL20" s="11">
        <v>41.9</v>
      </c>
      <c r="AM20" s="11">
        <v>5.5</v>
      </c>
      <c r="AN20" s="11">
        <v>31.2</v>
      </c>
      <c r="AO20" s="11">
        <v>52.8</v>
      </c>
      <c r="AQ20" s="12" t="s">
        <v>181</v>
      </c>
      <c r="AR20" s="11">
        <v>39.51</v>
      </c>
      <c r="AS20" s="11">
        <v>4.66</v>
      </c>
      <c r="AT20" s="11">
        <v>30.6</v>
      </c>
      <c r="AU20" s="11">
        <v>48.9</v>
      </c>
      <c r="AW20" s="12" t="s">
        <v>181</v>
      </c>
      <c r="AX20" s="11">
        <v>22.882999999999999</v>
      </c>
      <c r="AY20" s="11">
        <v>4.4820000000000002</v>
      </c>
      <c r="AZ20" s="11">
        <v>14.7</v>
      </c>
      <c r="BA20" s="11">
        <v>32.200000000000003</v>
      </c>
      <c r="BC20" s="12" t="s">
        <v>181</v>
      </c>
      <c r="BD20" s="11">
        <v>17.405999999999999</v>
      </c>
      <c r="BE20" s="11">
        <v>3.8540000000000001</v>
      </c>
      <c r="BF20" s="11">
        <v>10.4</v>
      </c>
      <c r="BG20" s="11">
        <v>25.3</v>
      </c>
    </row>
    <row r="21" spans="1:59" x14ac:dyDescent="0.25">
      <c r="A21" t="s">
        <v>42</v>
      </c>
      <c r="B21" s="11">
        <v>92.275009118690335</v>
      </c>
      <c r="C21" s="11">
        <v>0.56495181812835049</v>
      </c>
      <c r="D21" s="11">
        <v>91.167703555158766</v>
      </c>
      <c r="E21" s="11">
        <v>93.382314682221903</v>
      </c>
      <c r="G21" t="s">
        <v>42</v>
      </c>
      <c r="H21" s="11">
        <v>99.844999999999999</v>
      </c>
      <c r="I21" s="11">
        <v>0.30499999999999999</v>
      </c>
      <c r="J21" s="11">
        <v>98.9</v>
      </c>
      <c r="K21" s="11">
        <v>100</v>
      </c>
      <c r="M21" t="s">
        <v>42</v>
      </c>
      <c r="N21" s="11">
        <v>99.703999999999994</v>
      </c>
      <c r="O21" s="11">
        <v>0.51100000000000001</v>
      </c>
      <c r="P21" s="11">
        <v>98.1</v>
      </c>
      <c r="Q21" s="11">
        <v>100</v>
      </c>
      <c r="S21" t="s">
        <v>42</v>
      </c>
      <c r="T21" s="11">
        <v>99.783000000000001</v>
      </c>
      <c r="U21" s="11">
        <v>0.42899999999999999</v>
      </c>
      <c r="V21" s="11">
        <v>98.4</v>
      </c>
      <c r="W21" s="11">
        <v>100</v>
      </c>
      <c r="Y21" t="s">
        <v>42</v>
      </c>
      <c r="Z21" s="11">
        <v>90.129000000000005</v>
      </c>
      <c r="AA21" s="11">
        <v>3.5310000000000001</v>
      </c>
      <c r="AB21" s="11">
        <v>83</v>
      </c>
      <c r="AC21" s="11">
        <v>96.3</v>
      </c>
      <c r="AE21" t="s">
        <v>42</v>
      </c>
      <c r="AF21" s="11">
        <v>74.400000000000006</v>
      </c>
      <c r="AG21" s="11">
        <v>4.2</v>
      </c>
      <c r="AH21" s="11">
        <v>65.8</v>
      </c>
      <c r="AI21" s="11">
        <v>82.2</v>
      </c>
      <c r="AK21" t="s">
        <v>42</v>
      </c>
      <c r="AL21" s="11">
        <v>67.900000000000006</v>
      </c>
      <c r="AM21" s="11">
        <v>5.6</v>
      </c>
      <c r="AN21" s="11">
        <v>56.1</v>
      </c>
      <c r="AO21" s="11">
        <v>78</v>
      </c>
      <c r="AQ21" t="s">
        <v>42</v>
      </c>
      <c r="AR21" s="11">
        <v>65.426000000000002</v>
      </c>
      <c r="AS21" s="11">
        <v>4.2439999999999998</v>
      </c>
      <c r="AT21" s="11">
        <v>57.1</v>
      </c>
      <c r="AU21" s="11">
        <v>73.7</v>
      </c>
      <c r="AW21" t="s">
        <v>42</v>
      </c>
      <c r="AX21" s="11">
        <v>60.262</v>
      </c>
      <c r="AY21" s="11">
        <v>4.8490000000000002</v>
      </c>
      <c r="AZ21" s="11">
        <v>50.7</v>
      </c>
      <c r="BA21" s="11">
        <v>69.599999999999994</v>
      </c>
      <c r="BC21" t="s">
        <v>42</v>
      </c>
      <c r="BD21" s="11">
        <v>76.844999999999999</v>
      </c>
      <c r="BE21" s="11">
        <v>4.2</v>
      </c>
      <c r="BF21" s="11">
        <v>68.099999999999994</v>
      </c>
      <c r="BG21" s="11">
        <v>84.6</v>
      </c>
    </row>
    <row r="22" spans="1:59" x14ac:dyDescent="0.25">
      <c r="A22" t="s">
        <v>21</v>
      </c>
      <c r="B22" s="11">
        <v>7.7249908813096573</v>
      </c>
      <c r="C22" s="11">
        <v>0.56551244030130776</v>
      </c>
      <c r="D22" s="11">
        <v>6.6165864983190943</v>
      </c>
      <c r="E22" s="11">
        <v>8.8333952643002203</v>
      </c>
      <c r="G22" t="s">
        <v>21</v>
      </c>
      <c r="H22" s="11">
        <v>0.155</v>
      </c>
      <c r="I22" s="11">
        <v>0.308</v>
      </c>
      <c r="J22" s="11">
        <v>0</v>
      </c>
      <c r="K22" s="11">
        <v>1</v>
      </c>
      <c r="M22" t="s">
        <v>21</v>
      </c>
      <c r="N22" s="11">
        <v>0.29599999999999999</v>
      </c>
      <c r="O22" s="11">
        <v>0.51400000000000001</v>
      </c>
      <c r="P22" s="11">
        <v>0</v>
      </c>
      <c r="Q22" s="11">
        <v>1.8</v>
      </c>
      <c r="S22" t="s">
        <v>21</v>
      </c>
      <c r="T22" s="11">
        <v>0.217</v>
      </c>
      <c r="U22" s="11">
        <v>0.43099999999999999</v>
      </c>
      <c r="V22" s="11">
        <v>0</v>
      </c>
      <c r="W22" s="11">
        <v>1.6</v>
      </c>
      <c r="Y22" t="s">
        <v>21</v>
      </c>
      <c r="Z22" s="11">
        <v>9.8710000000000004</v>
      </c>
      <c r="AA22" s="11">
        <v>3.5310000000000001</v>
      </c>
      <c r="AB22" s="11">
        <v>3.7</v>
      </c>
      <c r="AC22" s="11">
        <v>17</v>
      </c>
      <c r="AE22" t="s">
        <v>21</v>
      </c>
      <c r="AF22" s="11">
        <v>25.6</v>
      </c>
      <c r="AG22" s="11">
        <v>4.2</v>
      </c>
      <c r="AH22" s="11">
        <v>17.8</v>
      </c>
      <c r="AI22" s="11">
        <v>34.200000000000003</v>
      </c>
      <c r="AK22" t="s">
        <v>21</v>
      </c>
      <c r="AL22" s="11">
        <v>32.1</v>
      </c>
      <c r="AM22" s="11">
        <v>5.6</v>
      </c>
      <c r="AN22" s="11">
        <v>21.9</v>
      </c>
      <c r="AO22" s="11">
        <v>43.9</v>
      </c>
      <c r="AQ22" t="s">
        <v>21</v>
      </c>
      <c r="AR22" s="11">
        <v>34.573999999999998</v>
      </c>
      <c r="AS22" s="11">
        <v>4.2439999999999998</v>
      </c>
      <c r="AT22" s="11">
        <v>26.3</v>
      </c>
      <c r="AU22" s="11">
        <v>42.9</v>
      </c>
      <c r="AW22" t="s">
        <v>21</v>
      </c>
      <c r="AX22" s="11">
        <v>39.738</v>
      </c>
      <c r="AY22" s="11">
        <v>4.8490000000000002</v>
      </c>
      <c r="AZ22" s="11">
        <v>30.4</v>
      </c>
      <c r="BA22" s="11">
        <v>49.3</v>
      </c>
      <c r="BC22" t="s">
        <v>21</v>
      </c>
      <c r="BD22" s="11">
        <v>23.155000000000001</v>
      </c>
      <c r="BE22" s="11">
        <v>4.2</v>
      </c>
      <c r="BF22" s="11">
        <v>15.398</v>
      </c>
      <c r="BG22" s="11">
        <v>31.9</v>
      </c>
    </row>
    <row r="25" spans="1:59" x14ac:dyDescent="0.25">
      <c r="A25" s="5" t="s">
        <v>182</v>
      </c>
      <c r="G25" s="16" t="s">
        <v>195</v>
      </c>
    </row>
    <row r="26" spans="1:59" x14ac:dyDescent="0.25">
      <c r="A26" t="s">
        <v>64</v>
      </c>
      <c r="B26" t="s">
        <v>65</v>
      </c>
      <c r="C26" t="s">
        <v>34</v>
      </c>
      <c r="D26" t="s">
        <v>111</v>
      </c>
      <c r="G26" s="16" t="s">
        <v>196</v>
      </c>
    </row>
    <row r="27" spans="1:59" x14ac:dyDescent="0.25">
      <c r="A27" t="s">
        <v>9</v>
      </c>
      <c r="B27" s="11">
        <v>97.686697241330492</v>
      </c>
      <c r="C27" s="11">
        <v>1.5568787600833323</v>
      </c>
      <c r="D27" s="11">
        <v>94.635214871567158</v>
      </c>
      <c r="E27" s="11">
        <v>100</v>
      </c>
      <c r="G27" s="17" t="s">
        <v>197</v>
      </c>
    </row>
    <row r="28" spans="1:59" x14ac:dyDescent="0.25">
      <c r="A28" s="7" t="s">
        <v>10</v>
      </c>
      <c r="B28" s="11">
        <v>73.987615499870685</v>
      </c>
      <c r="C28" s="11">
        <v>4.8460392135539045</v>
      </c>
      <c r="D28" s="11">
        <v>64.489378641305038</v>
      </c>
      <c r="E28" s="11">
        <v>83.485852358436333</v>
      </c>
      <c r="G28" s="18" t="s">
        <v>198</v>
      </c>
    </row>
    <row r="29" spans="1:59" x14ac:dyDescent="0.25">
      <c r="A29" s="7" t="s">
        <v>101</v>
      </c>
      <c r="B29" s="11">
        <v>23.65704961790701</v>
      </c>
      <c r="C29" s="11">
        <v>5.1167644712843297</v>
      </c>
      <c r="D29" s="11">
        <v>13.628191254189725</v>
      </c>
      <c r="E29" s="11">
        <v>33.685907981624297</v>
      </c>
      <c r="G29" s="18" t="s">
        <v>199</v>
      </c>
    </row>
    <row r="30" spans="1:59" x14ac:dyDescent="0.25">
      <c r="A30" s="9" t="s">
        <v>126</v>
      </c>
      <c r="B30" s="11">
        <v>22.710557961245989</v>
      </c>
      <c r="C30" s="11">
        <v>5.2417835947333797</v>
      </c>
      <c r="D30" s="11">
        <v>12.436662115568565</v>
      </c>
      <c r="E30" s="11">
        <v>32.984453806923412</v>
      </c>
      <c r="G30" s="18" t="s">
        <v>200</v>
      </c>
    </row>
    <row r="31" spans="1:59" x14ac:dyDescent="0.25">
      <c r="A31" s="9" t="s">
        <v>103</v>
      </c>
      <c r="B31" s="11">
        <v>0.94026551453600515</v>
      </c>
      <c r="C31" s="11">
        <v>1.2748571959020838</v>
      </c>
      <c r="D31" s="11">
        <v>0</v>
      </c>
      <c r="E31" s="11">
        <v>3.438985618504089</v>
      </c>
      <c r="G31" s="16" t="s">
        <v>201</v>
      </c>
    </row>
    <row r="32" spans="1:59" x14ac:dyDescent="0.25">
      <c r="A32" t="s">
        <v>11</v>
      </c>
      <c r="B32" s="11">
        <v>2.3133027586695158</v>
      </c>
      <c r="C32" s="11">
        <v>1.5562722208689361</v>
      </c>
      <c r="D32" s="11">
        <v>0</v>
      </c>
      <c r="E32" s="11">
        <v>5.3635963115726302</v>
      </c>
      <c r="G32" s="16" t="s">
        <v>202</v>
      </c>
    </row>
    <row r="33" spans="1:7" x14ac:dyDescent="0.25">
      <c r="A33" s="7" t="s">
        <v>103</v>
      </c>
      <c r="B33" s="11">
        <v>1.0934554903924094</v>
      </c>
      <c r="C33" s="11">
        <v>0.99492960789907869</v>
      </c>
      <c r="D33" s="11">
        <v>0</v>
      </c>
      <c r="E33" s="11">
        <v>3.0435175218746036</v>
      </c>
      <c r="G33" s="16" t="s">
        <v>203</v>
      </c>
    </row>
    <row r="34" spans="1:7" x14ac:dyDescent="0.25">
      <c r="A34" s="7" t="s">
        <v>38</v>
      </c>
      <c r="B34" s="11">
        <v>0.99813450193538888</v>
      </c>
      <c r="C34" s="11">
        <v>1.2680830470978244</v>
      </c>
      <c r="D34" s="11">
        <v>0</v>
      </c>
      <c r="E34" s="11">
        <v>3.4835772742471249</v>
      </c>
      <c r="G34" s="16" t="s">
        <v>204</v>
      </c>
    </row>
    <row r="35" spans="1:7" x14ac:dyDescent="0.25">
      <c r="A35" s="7" t="s">
        <v>104</v>
      </c>
      <c r="B35" s="11">
        <v>0.18557449043431021</v>
      </c>
      <c r="C35" s="11">
        <v>0.28491567238846516</v>
      </c>
      <c r="D35" s="11">
        <v>0</v>
      </c>
      <c r="E35" s="11">
        <v>0.74400920831570183</v>
      </c>
      <c r="G35" s="16" t="s">
        <v>205</v>
      </c>
    </row>
    <row r="36" spans="1:7" x14ac:dyDescent="0.25">
      <c r="A36" s="9" t="s">
        <v>14</v>
      </c>
      <c r="B36" s="11">
        <v>2.7522673451725089E-2</v>
      </c>
      <c r="C36" s="11">
        <v>7.8520443528098532E-2</v>
      </c>
      <c r="D36" s="11">
        <v>0</v>
      </c>
      <c r="E36" s="11">
        <v>0.18142274276679821</v>
      </c>
      <c r="G36" s="16" t="s">
        <v>206</v>
      </c>
    </row>
    <row r="37" spans="1:7" x14ac:dyDescent="0.25">
      <c r="A37" s="9" t="s">
        <v>15</v>
      </c>
      <c r="B37" s="11">
        <v>0.1637452814513321</v>
      </c>
      <c r="C37" s="11">
        <v>0.27468506015126493</v>
      </c>
      <c r="D37" s="11">
        <v>0</v>
      </c>
      <c r="E37" s="11">
        <v>0.70212799934781134</v>
      </c>
      <c r="G37" s="16" t="s">
        <v>207</v>
      </c>
    </row>
    <row r="38" spans="1:7" x14ac:dyDescent="0.25">
      <c r="A38" s="7" t="s">
        <v>105</v>
      </c>
      <c r="B38" s="11">
        <v>7.3834179298347527E-2</v>
      </c>
      <c r="C38" s="11">
        <v>0.13582040855996744</v>
      </c>
      <c r="D38" s="11">
        <v>0</v>
      </c>
      <c r="E38" s="11">
        <v>0.34004218007588366</v>
      </c>
      <c r="G38" s="16" t="s">
        <v>208</v>
      </c>
    </row>
    <row r="39" spans="1:7" x14ac:dyDescent="0.25">
      <c r="A39" s="9" t="s">
        <v>17</v>
      </c>
      <c r="B39" s="11">
        <v>6.0884888073988348E-2</v>
      </c>
      <c r="C39" s="11">
        <v>0.13075019740641755</v>
      </c>
      <c r="D39" s="11">
        <v>0</v>
      </c>
      <c r="E39" s="11">
        <v>0.31715527499056673</v>
      </c>
      <c r="G39" s="16" t="s">
        <v>209</v>
      </c>
    </row>
    <row r="40" spans="1:7" x14ac:dyDescent="0.25">
      <c r="A40" s="9" t="s">
        <v>18</v>
      </c>
      <c r="B40" s="11">
        <v>1.7537007899044804E-2</v>
      </c>
      <c r="C40" s="11">
        <v>4.4163449088297342E-2</v>
      </c>
      <c r="D40" s="11">
        <v>0</v>
      </c>
      <c r="E40" s="11">
        <v>0.1040973681121076</v>
      </c>
      <c r="G40" s="16" t="s">
        <v>210</v>
      </c>
    </row>
    <row r="41" spans="1:7" x14ac:dyDescent="0.25">
      <c r="A41" t="s">
        <v>41</v>
      </c>
      <c r="B41" s="11">
        <v>2.0801416467637321</v>
      </c>
      <c r="C41" s="11">
        <v>1.5458575491433708</v>
      </c>
      <c r="D41" s="11">
        <v>0</v>
      </c>
      <c r="E41" s="11">
        <v>5.1100224430847394</v>
      </c>
      <c r="G41" s="16" t="s">
        <v>211</v>
      </c>
    </row>
    <row r="42" spans="1:7" x14ac:dyDescent="0.25">
      <c r="A42" t="s">
        <v>106</v>
      </c>
      <c r="B42" s="11">
        <v>0.22488599628093264</v>
      </c>
      <c r="C42" s="11">
        <v>0.3108915234503109</v>
      </c>
      <c r="D42" s="11">
        <v>0</v>
      </c>
      <c r="E42" s="11">
        <v>0.83423338224354204</v>
      </c>
      <c r="G42" s="16" t="s">
        <v>212</v>
      </c>
    </row>
    <row r="43" spans="1:7" x14ac:dyDescent="0.25">
      <c r="A43" t="s">
        <v>22</v>
      </c>
      <c r="B43" s="11">
        <v>1.2287439594052383</v>
      </c>
      <c r="C43" s="11">
        <v>1.2904645556692067</v>
      </c>
      <c r="D43" s="11">
        <v>0</v>
      </c>
      <c r="E43" s="11">
        <v>3.7580544885168834</v>
      </c>
      <c r="G43" s="19" t="s">
        <v>213</v>
      </c>
    </row>
    <row r="44" spans="1:7" x14ac:dyDescent="0.25">
      <c r="A44" s="12" t="s">
        <v>181</v>
      </c>
      <c r="B44" s="11">
        <v>1.019657175387114</v>
      </c>
      <c r="C44" s="11">
        <v>1.2729387595620072</v>
      </c>
      <c r="D44" s="11">
        <v>0</v>
      </c>
      <c r="E44" s="11">
        <v>3.514617144128648</v>
      </c>
    </row>
    <row r="45" spans="1:7" x14ac:dyDescent="0.25">
      <c r="A45" t="s">
        <v>42</v>
      </c>
      <c r="B45" s="11">
        <v>99.754003613592658</v>
      </c>
      <c r="C45" s="11">
        <v>0.31735171939002776</v>
      </c>
      <c r="D45" s="11">
        <v>99.13199424358821</v>
      </c>
      <c r="E45" s="11">
        <v>100</v>
      </c>
    </row>
    <row r="46" spans="1:7" x14ac:dyDescent="0.25">
      <c r="A46" t="s">
        <v>21</v>
      </c>
      <c r="B46" s="11">
        <v>0.24599638640734336</v>
      </c>
      <c r="C46" s="11">
        <v>0.31929486658132866</v>
      </c>
      <c r="D46" s="11">
        <v>0</v>
      </c>
      <c r="E46" s="11">
        <v>0.87181432490674748</v>
      </c>
    </row>
    <row r="49" spans="1:5" x14ac:dyDescent="0.25">
      <c r="A49" s="5" t="s">
        <v>183</v>
      </c>
    </row>
    <row r="50" spans="1:5" x14ac:dyDescent="0.25">
      <c r="A50" t="s">
        <v>64</v>
      </c>
      <c r="B50" t="s">
        <v>65</v>
      </c>
      <c r="C50" t="s">
        <v>34</v>
      </c>
      <c r="D50" t="s">
        <v>111</v>
      </c>
    </row>
    <row r="51" spans="1:5" x14ac:dyDescent="0.25">
      <c r="A51" t="s">
        <v>9</v>
      </c>
      <c r="B51" s="11">
        <v>22.193646515875301</v>
      </c>
      <c r="C51" s="11">
        <v>1.3106124619960327</v>
      </c>
      <c r="D51" s="11">
        <v>19.624846090363079</v>
      </c>
      <c r="E51" s="11">
        <v>24.762446941387523</v>
      </c>
    </row>
    <row r="52" spans="1:5" x14ac:dyDescent="0.25">
      <c r="A52" s="7" t="s">
        <v>10</v>
      </c>
      <c r="B52" s="11">
        <v>10.384749082263401</v>
      </c>
      <c r="C52" s="11">
        <v>1.3551386384674204</v>
      </c>
      <c r="D52" s="11">
        <v>7.7286773508672564</v>
      </c>
      <c r="E52" s="11">
        <v>13.040820813659545</v>
      </c>
    </row>
    <row r="53" spans="1:5" x14ac:dyDescent="0.25">
      <c r="A53" s="7" t="s">
        <v>101</v>
      </c>
      <c r="B53" s="11">
        <v>11.809468856985895</v>
      </c>
      <c r="C53" s="11">
        <v>1.7192363415818335</v>
      </c>
      <c r="D53" s="11">
        <v>8.4397656274855013</v>
      </c>
      <c r="E53" s="11">
        <v>15.179172086486288</v>
      </c>
    </row>
    <row r="54" spans="1:5" x14ac:dyDescent="0.25">
      <c r="A54" s="9" t="s">
        <v>126</v>
      </c>
      <c r="B54" s="11">
        <v>7.7443799393147819</v>
      </c>
      <c r="C54" s="11">
        <v>1.9598714089403089</v>
      </c>
      <c r="D54" s="11">
        <v>3.9030319777917764</v>
      </c>
      <c r="E54" s="11">
        <v>11.585727900837787</v>
      </c>
    </row>
    <row r="55" spans="1:5" x14ac:dyDescent="0.25">
      <c r="A55" s="9" t="s">
        <v>103</v>
      </c>
      <c r="B55" s="11">
        <v>4.0714124593885641</v>
      </c>
      <c r="C55" s="11">
        <v>1.2543080712073289</v>
      </c>
      <c r="D55" s="11">
        <v>1.6129686398221996</v>
      </c>
      <c r="E55" s="11">
        <v>6.529856278954929</v>
      </c>
    </row>
    <row r="56" spans="1:5" x14ac:dyDescent="0.25">
      <c r="A56" t="s">
        <v>11</v>
      </c>
      <c r="B56" s="11">
        <v>77.806353484124713</v>
      </c>
      <c r="C56" s="11">
        <v>1.3107233408112262</v>
      </c>
      <c r="D56" s="11">
        <v>75.23733573613471</v>
      </c>
      <c r="E56" s="11">
        <v>80.375371232114716</v>
      </c>
    </row>
    <row r="57" spans="1:5" x14ac:dyDescent="0.25">
      <c r="A57" s="7" t="s">
        <v>103</v>
      </c>
      <c r="B57" s="11">
        <v>22.448996116218744</v>
      </c>
      <c r="C57" s="11">
        <v>1.4848983888934333</v>
      </c>
      <c r="D57" s="11">
        <v>19.538595273987614</v>
      </c>
      <c r="E57" s="11">
        <v>25.359396958449874</v>
      </c>
    </row>
    <row r="58" spans="1:5" x14ac:dyDescent="0.25">
      <c r="A58" s="7" t="s">
        <v>38</v>
      </c>
      <c r="B58" s="11">
        <v>28.794368549921597</v>
      </c>
      <c r="C58" s="11">
        <v>2.0390531212788776</v>
      </c>
      <c r="D58" s="11">
        <v>24.797824432214995</v>
      </c>
      <c r="E58" s="11">
        <v>32.790912667628199</v>
      </c>
    </row>
    <row r="59" spans="1:5" x14ac:dyDescent="0.25">
      <c r="A59" s="7" t="s">
        <v>104</v>
      </c>
      <c r="B59" s="11">
        <v>14.492076604174475</v>
      </c>
      <c r="C59" s="11">
        <v>1.6927690820277517</v>
      </c>
      <c r="D59" s="11">
        <v>11.174249203400082</v>
      </c>
      <c r="E59" s="11">
        <v>17.809904004948869</v>
      </c>
    </row>
    <row r="60" spans="1:5" x14ac:dyDescent="0.25">
      <c r="A60" s="9" t="s">
        <v>14</v>
      </c>
      <c r="B60" s="11">
        <v>2.2367135915972072</v>
      </c>
      <c r="C60" s="11">
        <v>1.0818562450552174</v>
      </c>
      <c r="D60" s="11">
        <v>0.11627535128898137</v>
      </c>
      <c r="E60" s="11">
        <v>4.3571518319054334</v>
      </c>
    </row>
    <row r="61" spans="1:5" x14ac:dyDescent="0.25">
      <c r="A61" s="9" t="s">
        <v>15</v>
      </c>
      <c r="B61" s="11">
        <v>12.25168038754134</v>
      </c>
      <c r="C61" s="11">
        <v>1.4689156678910646</v>
      </c>
      <c r="D61" s="11">
        <v>9.3726056784748533</v>
      </c>
      <c r="E61" s="11">
        <v>15.130755096607826</v>
      </c>
    </row>
    <row r="62" spans="1:5" x14ac:dyDescent="0.25">
      <c r="A62" s="7" t="s">
        <v>105</v>
      </c>
      <c r="B62" s="11">
        <v>12.066704525196373</v>
      </c>
      <c r="C62" s="11">
        <v>0.96543721630607959</v>
      </c>
      <c r="D62" s="11">
        <v>10.174447581236457</v>
      </c>
      <c r="E62" s="11">
        <v>13.958961469156289</v>
      </c>
    </row>
    <row r="63" spans="1:5" x14ac:dyDescent="0.25">
      <c r="A63" s="9" t="s">
        <v>17</v>
      </c>
      <c r="B63" s="11">
        <v>11.295977788773236</v>
      </c>
      <c r="C63" s="11">
        <v>0.8985868652534108</v>
      </c>
      <c r="D63" s="11">
        <v>9.5347475328765512</v>
      </c>
      <c r="E63" s="11">
        <v>13.05720804466992</v>
      </c>
    </row>
    <row r="64" spans="1:5" x14ac:dyDescent="0.25">
      <c r="A64" s="9" t="s">
        <v>18</v>
      </c>
      <c r="B64" s="11">
        <v>0.76681616162351163</v>
      </c>
      <c r="C64" s="11">
        <v>0.38435614684863811</v>
      </c>
      <c r="D64" s="11">
        <v>1.3478113800180935E-2</v>
      </c>
      <c r="E64" s="11">
        <v>1.5201542094468423</v>
      </c>
    </row>
    <row r="65" spans="1:5" x14ac:dyDescent="0.25">
      <c r="A65" t="s">
        <v>41</v>
      </c>
      <c r="B65" s="11">
        <v>51.230620637340323</v>
      </c>
      <c r="C65" s="11">
        <v>2.1348128906586195</v>
      </c>
      <c r="D65" s="11">
        <v>47.046387371649431</v>
      </c>
      <c r="E65" s="11">
        <v>55.414853903031215</v>
      </c>
    </row>
    <row r="66" spans="1:5" x14ac:dyDescent="0.25">
      <c r="A66" t="s">
        <v>106</v>
      </c>
      <c r="B66" s="11">
        <v>24.320956161477987</v>
      </c>
      <c r="C66" s="11">
        <v>1.6446698559278394</v>
      </c>
      <c r="D66" s="11">
        <v>21.097403243859421</v>
      </c>
      <c r="E66" s="11">
        <v>27.544509079096553</v>
      </c>
    </row>
    <row r="67" spans="1:5" x14ac:dyDescent="0.25">
      <c r="A67" t="s">
        <v>22</v>
      </c>
      <c r="B67" s="11">
        <v>55.354475844153953</v>
      </c>
      <c r="C67" s="11">
        <v>1.6622434997079052</v>
      </c>
      <c r="D67" s="11">
        <v>52.096478584726455</v>
      </c>
      <c r="E67" s="11">
        <v>58.612473103581451</v>
      </c>
    </row>
    <row r="68" spans="1:5" x14ac:dyDescent="0.25">
      <c r="A68" s="12" t="s">
        <v>181</v>
      </c>
      <c r="B68" s="11">
        <v>31.015312577993967</v>
      </c>
      <c r="C68" s="11">
        <v>1.9147523186263804</v>
      </c>
      <c r="D68" s="11">
        <v>27.26239803348626</v>
      </c>
      <c r="E68" s="11">
        <v>34.768227122501671</v>
      </c>
    </row>
    <row r="69" spans="1:5" x14ac:dyDescent="0.25">
      <c r="A69" t="s">
        <v>42</v>
      </c>
      <c r="B69" s="11">
        <v>73.442656035232361</v>
      </c>
      <c r="C69" s="11">
        <v>1.8197988152629501</v>
      </c>
      <c r="D69" s="11">
        <v>69.875850357316978</v>
      </c>
      <c r="E69" s="11">
        <v>77.009461713147743</v>
      </c>
    </row>
    <row r="70" spans="1:5" x14ac:dyDescent="0.25">
      <c r="A70" t="s">
        <v>21</v>
      </c>
      <c r="B70" s="11">
        <v>26.557343964767647</v>
      </c>
      <c r="C70" s="11">
        <v>1.8197988152629501</v>
      </c>
      <c r="D70" s="11">
        <v>22.990538286852264</v>
      </c>
      <c r="E70" s="11">
        <v>30.12414964268303</v>
      </c>
    </row>
  </sheetData>
  <mergeCells count="9">
    <mergeCell ref="AT2:AU2"/>
    <mergeCell ref="AZ2:BA2"/>
    <mergeCell ref="BF2:BG2"/>
    <mergeCell ref="J2:K2"/>
    <mergeCell ref="P2:Q2"/>
    <mergeCell ref="V2:W2"/>
    <mergeCell ref="AB2:AC2"/>
    <mergeCell ref="AH2:AI2"/>
    <mergeCell ref="AN2:AO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371EE-C017-43A6-A5A6-8DBA9369E4E2}">
  <dimension ref="A1:BA70"/>
  <sheetViews>
    <sheetView topLeftCell="AC1" workbookViewId="0">
      <selection activeCell="AS22" sqref="AS22"/>
    </sheetView>
  </sheetViews>
  <sheetFormatPr defaultRowHeight="15" x14ac:dyDescent="0.25"/>
  <cols>
    <col min="1" max="1" width="21.85546875" customWidth="1"/>
  </cols>
  <sheetData>
    <row r="1" spans="1:53" x14ac:dyDescent="0.25">
      <c r="A1" s="5" t="s">
        <v>180</v>
      </c>
      <c r="G1" s="12" t="s">
        <v>184</v>
      </c>
      <c r="I1" s="12" t="s">
        <v>110</v>
      </c>
      <c r="M1" s="12" t="s">
        <v>113</v>
      </c>
      <c r="O1" s="12" t="s">
        <v>110</v>
      </c>
      <c r="S1" s="12" t="s">
        <v>215</v>
      </c>
      <c r="U1" s="12" t="s">
        <v>110</v>
      </c>
      <c r="Y1" s="12" t="s">
        <v>216</v>
      </c>
      <c r="AA1" s="12" t="s">
        <v>110</v>
      </c>
      <c r="AE1" s="12" t="s">
        <v>217</v>
      </c>
      <c r="AG1" s="12" t="s">
        <v>110</v>
      </c>
      <c r="AK1" s="12" t="s">
        <v>218</v>
      </c>
      <c r="AM1" s="12" t="s">
        <v>110</v>
      </c>
      <c r="AQ1" s="12" t="s">
        <v>219</v>
      </c>
      <c r="AS1" s="12" t="s">
        <v>110</v>
      </c>
      <c r="AW1" s="12" t="s">
        <v>220</v>
      </c>
      <c r="AY1" s="12" t="s">
        <v>221</v>
      </c>
    </row>
    <row r="2" spans="1:53" x14ac:dyDescent="0.25">
      <c r="A2" t="s">
        <v>64</v>
      </c>
      <c r="B2" t="s">
        <v>65</v>
      </c>
      <c r="C2" t="s">
        <v>34</v>
      </c>
      <c r="D2" t="s">
        <v>111</v>
      </c>
      <c r="G2" t="s">
        <v>64</v>
      </c>
      <c r="H2" t="s">
        <v>65</v>
      </c>
      <c r="I2" t="s">
        <v>34</v>
      </c>
      <c r="J2" s="14" t="s">
        <v>111</v>
      </c>
      <c r="K2" s="14"/>
      <c r="M2" t="s">
        <v>64</v>
      </c>
      <c r="N2" t="s">
        <v>65</v>
      </c>
      <c r="O2" t="s">
        <v>34</v>
      </c>
      <c r="P2" s="14" t="s">
        <v>111</v>
      </c>
      <c r="Q2" s="14"/>
      <c r="S2" t="s">
        <v>64</v>
      </c>
      <c r="T2" t="s">
        <v>65</v>
      </c>
      <c r="U2" t="s">
        <v>34</v>
      </c>
      <c r="V2" s="14" t="s">
        <v>111</v>
      </c>
      <c r="W2" s="14"/>
      <c r="Y2" t="s">
        <v>64</v>
      </c>
      <c r="Z2" t="s">
        <v>65</v>
      </c>
      <c r="AA2" t="s">
        <v>34</v>
      </c>
      <c r="AB2" s="14" t="s">
        <v>111</v>
      </c>
      <c r="AC2" s="14"/>
      <c r="AE2" t="s">
        <v>64</v>
      </c>
      <c r="AF2" t="s">
        <v>65</v>
      </c>
      <c r="AG2" t="s">
        <v>34</v>
      </c>
      <c r="AH2" s="14" t="s">
        <v>111</v>
      </c>
      <c r="AI2" s="14"/>
      <c r="AK2" t="s">
        <v>64</v>
      </c>
      <c r="AL2" t="s">
        <v>65</v>
      </c>
      <c r="AM2" t="s">
        <v>34</v>
      </c>
      <c r="AN2" s="14" t="s">
        <v>111</v>
      </c>
      <c r="AO2" s="14"/>
      <c r="AQ2" t="s">
        <v>64</v>
      </c>
      <c r="AR2" t="s">
        <v>65</v>
      </c>
      <c r="AS2" t="s">
        <v>34</v>
      </c>
      <c r="AT2" s="14" t="s">
        <v>111</v>
      </c>
      <c r="AU2" s="14"/>
      <c r="AW2" t="s">
        <v>64</v>
      </c>
      <c r="AX2" t="s">
        <v>65</v>
      </c>
      <c r="AY2" t="s">
        <v>34</v>
      </c>
      <c r="AZ2" s="14" t="s">
        <v>111</v>
      </c>
      <c r="BA2" s="14"/>
    </row>
    <row r="3" spans="1:53" x14ac:dyDescent="0.25">
      <c r="A3" t="s">
        <v>9</v>
      </c>
      <c r="B3" s="11">
        <v>71.581445938612177</v>
      </c>
      <c r="C3" s="11">
        <v>0.75138355905700238</v>
      </c>
      <c r="D3" s="11">
        <v>70.108734162860458</v>
      </c>
      <c r="E3" s="11">
        <v>73.054157714363896</v>
      </c>
      <c r="G3" s="20" t="s">
        <v>9</v>
      </c>
      <c r="H3" s="11">
        <v>99.566000000000003</v>
      </c>
      <c r="I3" s="11">
        <v>0.54900000000000004</v>
      </c>
      <c r="J3" s="11">
        <v>98</v>
      </c>
      <c r="K3" s="11">
        <v>100</v>
      </c>
      <c r="M3" s="20" t="s">
        <v>9</v>
      </c>
      <c r="N3" s="11">
        <v>99.143000000000001</v>
      </c>
      <c r="O3" s="11">
        <v>0.99299999999999999</v>
      </c>
      <c r="P3" s="11">
        <v>96.5</v>
      </c>
      <c r="Q3" s="11">
        <v>100</v>
      </c>
      <c r="S3" s="20" t="s">
        <v>9</v>
      </c>
      <c r="T3" s="11">
        <v>97</v>
      </c>
      <c r="U3" s="11">
        <v>1.841</v>
      </c>
      <c r="V3" s="11">
        <v>93</v>
      </c>
      <c r="W3" s="11">
        <v>99.9</v>
      </c>
      <c r="Y3" s="20" t="s">
        <v>9</v>
      </c>
      <c r="Z3" s="11">
        <v>94.305000000000007</v>
      </c>
      <c r="AA3" s="11">
        <v>2.1219999999999999</v>
      </c>
      <c r="AB3" s="11">
        <v>89.8</v>
      </c>
      <c r="AC3" s="11">
        <v>98.1</v>
      </c>
      <c r="AE3" s="20" t="s">
        <v>9</v>
      </c>
      <c r="AF3" s="11">
        <v>47.777000000000001</v>
      </c>
      <c r="AG3" s="11">
        <v>4.2779999999999996</v>
      </c>
      <c r="AH3" s="11">
        <v>39.299999999999997</v>
      </c>
      <c r="AI3" s="11">
        <v>56</v>
      </c>
      <c r="AK3" s="20" t="s">
        <v>9</v>
      </c>
      <c r="AL3" s="11">
        <v>20.007999999999999</v>
      </c>
      <c r="AM3" s="11">
        <v>3.5259999999999998</v>
      </c>
      <c r="AN3" s="11">
        <v>13.4</v>
      </c>
      <c r="AO3" s="11">
        <v>27.1</v>
      </c>
      <c r="AQ3" s="20" t="s">
        <v>9</v>
      </c>
      <c r="AR3" s="11">
        <v>5.7770000000000001</v>
      </c>
      <c r="AS3" s="11">
        <v>2.9260000000000002</v>
      </c>
      <c r="AT3" s="11">
        <v>1</v>
      </c>
      <c r="AU3" s="11">
        <v>12</v>
      </c>
      <c r="AW3" s="20" t="s">
        <v>9</v>
      </c>
      <c r="AX3" s="11">
        <v>0.77</v>
      </c>
      <c r="AY3" s="11">
        <v>0.77</v>
      </c>
      <c r="AZ3" s="11">
        <v>0</v>
      </c>
      <c r="BA3" s="11">
        <v>2.8</v>
      </c>
    </row>
    <row r="4" spans="1:53" x14ac:dyDescent="0.25">
      <c r="A4" s="7" t="s">
        <v>10</v>
      </c>
      <c r="B4" s="11">
        <v>52.061130633683668</v>
      </c>
      <c r="C4" s="11">
        <v>2.4769757910164656</v>
      </c>
      <c r="D4" s="11">
        <v>47.206258083291395</v>
      </c>
      <c r="E4" s="11">
        <v>56.91600318407594</v>
      </c>
      <c r="G4" s="21" t="s">
        <v>10</v>
      </c>
      <c r="H4" s="11">
        <v>90.244</v>
      </c>
      <c r="I4" s="11">
        <v>7.0810000000000004</v>
      </c>
      <c r="J4" s="11">
        <v>75.5</v>
      </c>
      <c r="K4" s="11">
        <v>99.3</v>
      </c>
      <c r="M4" s="21" t="s">
        <v>10</v>
      </c>
      <c r="N4" s="11">
        <v>76.209999999999994</v>
      </c>
      <c r="O4" s="11">
        <v>7.34</v>
      </c>
      <c r="P4" s="11">
        <v>61.6</v>
      </c>
      <c r="Q4" s="11">
        <v>90</v>
      </c>
      <c r="S4" s="21" t="s">
        <v>10</v>
      </c>
      <c r="T4" s="11">
        <v>64.8</v>
      </c>
      <c r="U4" s="11">
        <v>6.8570000000000002</v>
      </c>
      <c r="V4" s="11">
        <v>52.2</v>
      </c>
      <c r="W4" s="11">
        <v>81</v>
      </c>
      <c r="Y4" s="21" t="s">
        <v>10</v>
      </c>
      <c r="Z4" s="11">
        <v>54.616</v>
      </c>
      <c r="AA4" s="11">
        <v>5.2370000000000001</v>
      </c>
      <c r="AB4" s="11">
        <v>44</v>
      </c>
      <c r="AC4" s="11">
        <v>64.7</v>
      </c>
      <c r="AE4" s="21" t="s">
        <v>10</v>
      </c>
      <c r="AF4" s="11">
        <v>13.455</v>
      </c>
      <c r="AG4" s="11">
        <v>3.2410000000000001</v>
      </c>
      <c r="AH4" s="11">
        <v>7.5</v>
      </c>
      <c r="AI4" s="11">
        <v>20.3</v>
      </c>
      <c r="AK4" s="21" t="s">
        <v>10</v>
      </c>
      <c r="AL4" s="11">
        <v>10.884</v>
      </c>
      <c r="AM4" s="11">
        <v>3.0569999999999999</v>
      </c>
      <c r="AN4" s="11">
        <v>4.8</v>
      </c>
      <c r="AO4" s="11">
        <v>16.899999999999999</v>
      </c>
      <c r="AQ4" s="21" t="s">
        <v>10</v>
      </c>
      <c r="AR4" s="11">
        <v>1.2170000000000001</v>
      </c>
      <c r="AS4" s="11">
        <v>0.81399999999999995</v>
      </c>
      <c r="AT4" s="11">
        <v>0.1</v>
      </c>
      <c r="AU4" s="11">
        <v>3.2</v>
      </c>
      <c r="AW4" s="21" t="s">
        <v>10</v>
      </c>
      <c r="AX4" s="11">
        <v>0.41799999999999998</v>
      </c>
      <c r="AY4" s="11">
        <v>0.48099999999999998</v>
      </c>
      <c r="AZ4" s="11">
        <v>0</v>
      </c>
      <c r="BA4" s="11">
        <v>1.7</v>
      </c>
    </row>
    <row r="5" spans="1:53" x14ac:dyDescent="0.25">
      <c r="A5" s="7" t="s">
        <v>101</v>
      </c>
      <c r="B5" s="11">
        <v>19.492025431134522</v>
      </c>
      <c r="C5" s="11">
        <v>2.572883773037439</v>
      </c>
      <c r="D5" s="11">
        <v>14.449173235981142</v>
      </c>
      <c r="E5" s="11">
        <v>24.534877626287901</v>
      </c>
      <c r="G5" s="21" t="s">
        <v>101</v>
      </c>
      <c r="H5" s="11">
        <v>9.2650000000000006</v>
      </c>
      <c r="I5" s="11">
        <v>7.1139999999999999</v>
      </c>
      <c r="J5" s="11">
        <v>0.2</v>
      </c>
      <c r="K5" s="11">
        <v>23.9</v>
      </c>
      <c r="M5" s="21" t="s">
        <v>101</v>
      </c>
      <c r="N5" s="11">
        <v>22.888999999999999</v>
      </c>
      <c r="O5" s="11">
        <v>7.41</v>
      </c>
      <c r="P5" s="11">
        <v>9.1</v>
      </c>
      <c r="Q5" s="11">
        <v>37.799999999999997</v>
      </c>
      <c r="S5" s="21" t="s">
        <v>101</v>
      </c>
      <c r="T5" s="11">
        <v>32.173999999999999</v>
      </c>
      <c r="U5" s="11">
        <v>7.0609999999999999</v>
      </c>
      <c r="V5" s="11">
        <v>15.698</v>
      </c>
      <c r="W5" s="11">
        <v>45</v>
      </c>
      <c r="Y5" s="21" t="s">
        <v>101</v>
      </c>
      <c r="Z5" s="11">
        <v>39.667999999999999</v>
      </c>
      <c r="AA5" s="11">
        <v>5.5650000000000004</v>
      </c>
      <c r="AB5" s="11">
        <v>29.1</v>
      </c>
      <c r="AC5" s="11">
        <v>50.9</v>
      </c>
      <c r="AE5" s="21" t="s">
        <v>101</v>
      </c>
      <c r="AF5" s="11">
        <v>34.317999999999998</v>
      </c>
      <c r="AG5" s="11">
        <v>4.9569999999999999</v>
      </c>
      <c r="AH5" s="11">
        <v>24.7</v>
      </c>
      <c r="AI5" s="11">
        <v>44.2</v>
      </c>
      <c r="AK5" s="21" t="s">
        <v>101</v>
      </c>
      <c r="AL5" s="11">
        <v>9.1199999999999992</v>
      </c>
      <c r="AM5" s="11">
        <v>4.0679999999999996</v>
      </c>
      <c r="AN5" s="11">
        <v>2.4</v>
      </c>
      <c r="AO5" s="11">
        <v>18</v>
      </c>
      <c r="AQ5" s="21" t="s">
        <v>101</v>
      </c>
      <c r="AR5" s="11">
        <v>4.5519999999999996</v>
      </c>
      <c r="AS5" s="11">
        <v>2.9750000000000001</v>
      </c>
      <c r="AT5" s="11">
        <v>0</v>
      </c>
      <c r="AU5" s="11">
        <v>10.8</v>
      </c>
      <c r="AW5" s="21" t="s">
        <v>101</v>
      </c>
      <c r="AX5" s="11">
        <v>0.36099999999999999</v>
      </c>
      <c r="AY5" s="11">
        <v>0.63400000000000001</v>
      </c>
      <c r="AZ5" s="11">
        <v>0</v>
      </c>
      <c r="BA5" s="11">
        <v>2.2000000000000002</v>
      </c>
    </row>
    <row r="6" spans="1:53" x14ac:dyDescent="0.25">
      <c r="A6" s="9" t="s">
        <v>126</v>
      </c>
      <c r="B6" s="11">
        <v>13.509066349617417</v>
      </c>
      <c r="C6" s="11">
        <v>2.7118589192031304</v>
      </c>
      <c r="D6" s="11">
        <v>8.1938228679792822</v>
      </c>
      <c r="E6" s="11">
        <v>18.824309831255551</v>
      </c>
      <c r="G6" s="22" t="s">
        <v>126</v>
      </c>
      <c r="H6" s="11">
        <v>8.4130000000000003</v>
      </c>
      <c r="I6" s="11">
        <v>7.3440000000000003</v>
      </c>
      <c r="J6" s="11">
        <v>0</v>
      </c>
      <c r="K6" s="11">
        <v>23.501999999999999</v>
      </c>
      <c r="M6" s="22" t="s">
        <v>126</v>
      </c>
      <c r="N6" s="11">
        <v>21.08</v>
      </c>
      <c r="O6" s="11">
        <v>8.1609999999999996</v>
      </c>
      <c r="P6" s="11">
        <v>5.6</v>
      </c>
      <c r="Q6" s="11">
        <v>37.200000000000003</v>
      </c>
      <c r="S6" s="22" t="s">
        <v>126</v>
      </c>
      <c r="T6" s="11">
        <v>23.536999999999999</v>
      </c>
      <c r="U6" s="11">
        <v>7.5970000000000004</v>
      </c>
      <c r="V6" s="11">
        <v>5.1980000000000004</v>
      </c>
      <c r="W6" s="11">
        <v>37.799999999999997</v>
      </c>
      <c r="Y6" s="22" t="s">
        <v>126</v>
      </c>
      <c r="Z6" s="11">
        <v>26.783999999999999</v>
      </c>
      <c r="AA6" s="11">
        <v>6.7889999999999997</v>
      </c>
      <c r="AB6" s="11">
        <v>13.997999999999999</v>
      </c>
      <c r="AC6" s="11">
        <v>40.299999999999997</v>
      </c>
      <c r="AE6" s="22" t="s">
        <v>126</v>
      </c>
      <c r="AF6" s="11">
        <v>10.045999999999999</v>
      </c>
      <c r="AG6" s="11">
        <v>4.1459999999999999</v>
      </c>
      <c r="AH6" s="11">
        <v>2.4980000000000002</v>
      </c>
      <c r="AI6" s="11">
        <v>18.5</v>
      </c>
      <c r="AK6" s="22" t="s">
        <v>126</v>
      </c>
      <c r="AL6" s="11">
        <v>3.218</v>
      </c>
      <c r="AM6" s="11">
        <v>3.633</v>
      </c>
      <c r="AN6" s="11">
        <v>0</v>
      </c>
      <c r="AO6" s="11">
        <v>12.2</v>
      </c>
      <c r="AQ6" s="22" t="s">
        <v>126</v>
      </c>
      <c r="AR6" s="11">
        <v>4.4420000000000002</v>
      </c>
      <c r="AS6" s="11">
        <v>2.9990000000000001</v>
      </c>
      <c r="AT6" s="11">
        <v>0</v>
      </c>
      <c r="AU6" s="11">
        <v>10.7</v>
      </c>
      <c r="AW6" s="22" t="s">
        <v>126</v>
      </c>
      <c r="AX6" s="11">
        <v>0.315</v>
      </c>
      <c r="AY6" s="11">
        <v>0.60299999999999998</v>
      </c>
      <c r="AZ6" s="11">
        <v>0</v>
      </c>
      <c r="BA6" s="11">
        <v>2.1</v>
      </c>
    </row>
    <row r="7" spans="1:53" x14ac:dyDescent="0.25">
      <c r="A7" s="9" t="s">
        <v>103</v>
      </c>
      <c r="B7" s="11">
        <v>5.9777618565208162</v>
      </c>
      <c r="C7" s="11">
        <v>0.90360387337205794</v>
      </c>
      <c r="D7" s="11">
        <v>4.2066982647115827</v>
      </c>
      <c r="E7" s="11">
        <v>7.7488254483300496</v>
      </c>
      <c r="G7" s="22" t="s">
        <v>103</v>
      </c>
      <c r="H7" s="11">
        <v>0.84699999999999998</v>
      </c>
      <c r="I7" s="11">
        <v>1.2150000000000001</v>
      </c>
      <c r="J7" s="11">
        <v>0</v>
      </c>
      <c r="K7" s="11">
        <v>4.0999999999999996</v>
      </c>
      <c r="M7" s="22" t="s">
        <v>103</v>
      </c>
      <c r="N7" s="11">
        <v>1.796</v>
      </c>
      <c r="O7" s="11">
        <v>2.2879999999999998</v>
      </c>
      <c r="P7" s="11">
        <v>0</v>
      </c>
      <c r="Q7" s="11">
        <v>7.5</v>
      </c>
      <c r="S7" s="22" t="s">
        <v>103</v>
      </c>
      <c r="T7" s="11">
        <v>8.6180000000000003</v>
      </c>
      <c r="U7" s="11">
        <v>2.79</v>
      </c>
      <c r="V7" s="11">
        <v>3.3</v>
      </c>
      <c r="W7" s="11">
        <v>14.302</v>
      </c>
      <c r="Y7" s="22" t="s">
        <v>103</v>
      </c>
      <c r="Z7" s="11">
        <v>12.867000000000001</v>
      </c>
      <c r="AA7" s="11">
        <v>4.3639999999999999</v>
      </c>
      <c r="AB7" s="11">
        <v>4.5979999999999999</v>
      </c>
      <c r="AC7" s="11">
        <v>21.6</v>
      </c>
      <c r="AE7" s="22" t="s">
        <v>103</v>
      </c>
      <c r="AF7" s="11">
        <v>24.277999999999999</v>
      </c>
      <c r="AG7" s="11">
        <v>4.2220000000000004</v>
      </c>
      <c r="AH7" s="11">
        <v>16</v>
      </c>
      <c r="AI7" s="11">
        <v>32.601999999999997</v>
      </c>
      <c r="AK7" s="22" t="s">
        <v>103</v>
      </c>
      <c r="AL7" s="11">
        <v>5.9059999999999997</v>
      </c>
      <c r="AM7" s="11">
        <v>3.0950000000000002</v>
      </c>
      <c r="AN7" s="11">
        <v>0.2</v>
      </c>
      <c r="AO7" s="11">
        <v>12.3</v>
      </c>
      <c r="AQ7" s="22" t="s">
        <v>103</v>
      </c>
      <c r="AR7" s="11">
        <v>0.12</v>
      </c>
      <c r="AS7" s="11">
        <v>0.42399999999999999</v>
      </c>
      <c r="AT7" s="11">
        <v>0</v>
      </c>
      <c r="AU7" s="11">
        <v>1.3</v>
      </c>
      <c r="AW7" s="22" t="s">
        <v>103</v>
      </c>
      <c r="AX7" s="11">
        <v>5.8000000000000003E-2</v>
      </c>
      <c r="AY7" s="11">
        <v>0.19600000000000001</v>
      </c>
      <c r="AZ7" s="11">
        <v>0</v>
      </c>
      <c r="BA7" s="11">
        <v>0.6</v>
      </c>
    </row>
    <row r="8" spans="1:53" x14ac:dyDescent="0.25">
      <c r="A8" t="s">
        <v>11</v>
      </c>
      <c r="B8" s="11">
        <v>28.418554061387837</v>
      </c>
      <c r="C8" s="11">
        <v>0.75140941187187205</v>
      </c>
      <c r="D8" s="11">
        <v>26.945791614118967</v>
      </c>
      <c r="E8" s="11">
        <v>29.891316508656708</v>
      </c>
      <c r="G8" s="20" t="s">
        <v>11</v>
      </c>
      <c r="H8" s="11">
        <v>0.434</v>
      </c>
      <c r="I8" s="11">
        <v>0.54900000000000004</v>
      </c>
      <c r="J8" s="11">
        <v>0</v>
      </c>
      <c r="K8" s="11">
        <v>2</v>
      </c>
      <c r="M8" s="20" t="s">
        <v>11</v>
      </c>
      <c r="N8" s="11">
        <v>0.85699999999999998</v>
      </c>
      <c r="O8" s="11">
        <v>0.99299999999999999</v>
      </c>
      <c r="P8" s="11">
        <v>0</v>
      </c>
      <c r="Q8" s="11">
        <v>3.5</v>
      </c>
      <c r="S8" s="20" t="s">
        <v>11</v>
      </c>
      <c r="T8" s="11">
        <v>3</v>
      </c>
      <c r="U8" s="11">
        <v>1.8420000000000001</v>
      </c>
      <c r="V8" s="11">
        <v>0.1</v>
      </c>
      <c r="W8" s="11">
        <v>7</v>
      </c>
      <c r="Y8" s="20" t="s">
        <v>11</v>
      </c>
      <c r="Z8" s="11">
        <v>5.6950000000000003</v>
      </c>
      <c r="AA8" s="11">
        <v>2.1230000000000002</v>
      </c>
      <c r="AB8" s="11">
        <v>1.9</v>
      </c>
      <c r="AC8" s="11">
        <v>10.199999999999999</v>
      </c>
      <c r="AE8" s="20" t="s">
        <v>11</v>
      </c>
      <c r="AF8" s="11">
        <v>52.222999999999999</v>
      </c>
      <c r="AG8" s="11">
        <v>4.2770000000000001</v>
      </c>
      <c r="AH8" s="11">
        <v>44</v>
      </c>
      <c r="AI8" s="11">
        <v>60.7</v>
      </c>
      <c r="AK8" s="20" t="s">
        <v>11</v>
      </c>
      <c r="AL8" s="11">
        <v>79.992000000000004</v>
      </c>
      <c r="AM8" s="11">
        <v>3.5249999999999999</v>
      </c>
      <c r="AN8" s="11">
        <v>72.900000000000006</v>
      </c>
      <c r="AO8" s="11">
        <v>86.6</v>
      </c>
      <c r="AQ8" s="20" t="s">
        <v>11</v>
      </c>
      <c r="AR8" s="11">
        <v>94.222999999999999</v>
      </c>
      <c r="AS8" s="11">
        <v>2.9260000000000002</v>
      </c>
      <c r="AT8" s="11">
        <v>88</v>
      </c>
      <c r="AU8" s="11">
        <v>99</v>
      </c>
      <c r="AW8" s="20" t="s">
        <v>11</v>
      </c>
      <c r="AX8" s="11">
        <v>99.23</v>
      </c>
      <c r="AY8" s="11">
        <v>0.77100000000000002</v>
      </c>
      <c r="AZ8" s="11">
        <v>97.2</v>
      </c>
      <c r="BA8" s="11">
        <v>100</v>
      </c>
    </row>
    <row r="9" spans="1:53" x14ac:dyDescent="0.25">
      <c r="A9" s="7" t="s">
        <v>103</v>
      </c>
      <c r="B9" s="11">
        <v>8.1915233472419491</v>
      </c>
      <c r="C9" s="11">
        <v>0.65515395164096757</v>
      </c>
      <c r="D9" s="11">
        <v>6.9074216020256527</v>
      </c>
      <c r="E9" s="11">
        <v>9.4756250924582446</v>
      </c>
      <c r="G9" s="21" t="s">
        <v>103</v>
      </c>
      <c r="H9" s="11">
        <v>0.11700000000000001</v>
      </c>
      <c r="I9" s="11">
        <v>0.24399999999999999</v>
      </c>
      <c r="J9" s="11">
        <v>0</v>
      </c>
      <c r="K9" s="11">
        <v>0.9</v>
      </c>
      <c r="M9" s="21" t="s">
        <v>103</v>
      </c>
      <c r="N9" s="11">
        <v>0.629</v>
      </c>
      <c r="O9" s="11">
        <v>0.89700000000000002</v>
      </c>
      <c r="P9" s="11">
        <v>0</v>
      </c>
      <c r="Q9" s="11">
        <v>3.1</v>
      </c>
      <c r="S9" s="21" t="s">
        <v>103</v>
      </c>
      <c r="T9" s="11">
        <v>0.28299999999999997</v>
      </c>
      <c r="U9" s="11">
        <v>0.54800000000000004</v>
      </c>
      <c r="V9" s="11">
        <v>0</v>
      </c>
      <c r="W9" s="11">
        <v>2</v>
      </c>
      <c r="Y9" s="21" t="s">
        <v>103</v>
      </c>
      <c r="Z9" s="11">
        <v>0.21199999999999999</v>
      </c>
      <c r="AA9" s="11">
        <v>0.46300000000000002</v>
      </c>
      <c r="AB9" s="11">
        <v>0</v>
      </c>
      <c r="AC9" s="11">
        <v>1.6</v>
      </c>
      <c r="AE9" s="21" t="s">
        <v>103</v>
      </c>
      <c r="AF9" s="11">
        <v>3.6059999999999999</v>
      </c>
      <c r="AG9" s="11">
        <v>2.669</v>
      </c>
      <c r="AH9" s="11">
        <v>0</v>
      </c>
      <c r="AI9" s="11">
        <v>9.4</v>
      </c>
      <c r="AK9" s="21" t="s">
        <v>103</v>
      </c>
      <c r="AL9" s="11">
        <v>8.3529999999999998</v>
      </c>
      <c r="AM9" s="11">
        <v>3.0649999999999999</v>
      </c>
      <c r="AN9" s="11">
        <v>2.9</v>
      </c>
      <c r="AO9" s="11">
        <v>15</v>
      </c>
      <c r="AQ9" s="21" t="s">
        <v>103</v>
      </c>
      <c r="AR9" s="11">
        <v>33.317</v>
      </c>
      <c r="AS9" s="11">
        <v>3.8929999999999998</v>
      </c>
      <c r="AT9" s="11">
        <v>26</v>
      </c>
      <c r="AU9" s="11">
        <v>41.2</v>
      </c>
      <c r="AW9" s="21" t="s">
        <v>103</v>
      </c>
      <c r="AX9" s="11">
        <v>51.48</v>
      </c>
      <c r="AY9" s="11">
        <v>3.3380000000000001</v>
      </c>
      <c r="AZ9" s="11">
        <v>45</v>
      </c>
      <c r="BA9" s="11">
        <v>58</v>
      </c>
    </row>
    <row r="10" spans="1:53" x14ac:dyDescent="0.25">
      <c r="A10" s="7" t="s">
        <v>38</v>
      </c>
      <c r="B10" s="11">
        <v>10.74863561620448</v>
      </c>
      <c r="C10" s="11">
        <v>1.1819018840769364</v>
      </c>
      <c r="D10" s="11">
        <v>8.4321079234136853</v>
      </c>
      <c r="E10" s="11">
        <v>13.065163308995274</v>
      </c>
      <c r="G10" s="21" t="s">
        <v>38</v>
      </c>
      <c r="H10" s="11">
        <v>0.161</v>
      </c>
      <c r="I10" s="11">
        <v>0.372</v>
      </c>
      <c r="J10" s="11">
        <v>0</v>
      </c>
      <c r="K10" s="11">
        <v>1.3</v>
      </c>
      <c r="M10" s="21" t="s">
        <v>38</v>
      </c>
      <c r="N10" s="11">
        <v>0.113</v>
      </c>
      <c r="O10" s="11">
        <v>0.30199999999999999</v>
      </c>
      <c r="P10" s="11">
        <v>0</v>
      </c>
      <c r="Q10" s="11">
        <v>0.9</v>
      </c>
      <c r="S10" s="21" t="s">
        <v>38</v>
      </c>
      <c r="T10" s="11">
        <v>2.556</v>
      </c>
      <c r="U10" s="11">
        <v>1.77</v>
      </c>
      <c r="V10" s="11">
        <v>0</v>
      </c>
      <c r="W10" s="11">
        <v>6.4</v>
      </c>
      <c r="Y10" s="21" t="s">
        <v>38</v>
      </c>
      <c r="Z10" s="11">
        <v>4.7649999999999997</v>
      </c>
      <c r="AA10" s="11">
        <v>2.2309999999999999</v>
      </c>
      <c r="AB10" s="11">
        <v>0.2</v>
      </c>
      <c r="AC10" s="11">
        <v>9.5</v>
      </c>
      <c r="AE10" s="21" t="s">
        <v>38</v>
      </c>
      <c r="AF10" s="11">
        <v>24.161999999999999</v>
      </c>
      <c r="AG10" s="11">
        <v>6.0540000000000003</v>
      </c>
      <c r="AH10" s="11">
        <v>13</v>
      </c>
      <c r="AI10" s="11">
        <v>36.201999999999998</v>
      </c>
      <c r="AK10" s="21" t="s">
        <v>38</v>
      </c>
      <c r="AL10" s="11">
        <v>39.817</v>
      </c>
      <c r="AM10" s="11">
        <v>5.734</v>
      </c>
      <c r="AN10" s="11">
        <v>28.8</v>
      </c>
      <c r="AO10" s="11">
        <v>51.1</v>
      </c>
      <c r="AQ10" s="21" t="s">
        <v>38</v>
      </c>
      <c r="AR10" s="11">
        <v>30.273</v>
      </c>
      <c r="AS10" s="11">
        <v>6.4480000000000004</v>
      </c>
      <c r="AT10" s="11">
        <v>18.198</v>
      </c>
      <c r="AU10" s="11">
        <v>43.1</v>
      </c>
      <c r="AW10" s="21" t="s">
        <v>38</v>
      </c>
      <c r="AX10" s="11">
        <v>25.753</v>
      </c>
      <c r="AY10" s="11">
        <v>3.9580000000000002</v>
      </c>
      <c r="AZ10" s="11">
        <v>17.899999999999999</v>
      </c>
      <c r="BA10" s="11">
        <v>33.5</v>
      </c>
    </row>
    <row r="11" spans="1:53" x14ac:dyDescent="0.25">
      <c r="A11" s="7" t="s">
        <v>104</v>
      </c>
      <c r="B11" s="11">
        <v>6.9932700290754175</v>
      </c>
      <c r="C11" s="11">
        <v>1.0099218179110545</v>
      </c>
      <c r="D11" s="11">
        <v>5.0138232659697506</v>
      </c>
      <c r="E11" s="11">
        <v>8.9727167921810835</v>
      </c>
      <c r="G11" s="21" t="s">
        <v>104</v>
      </c>
      <c r="H11" s="11">
        <v>0.13100000000000001</v>
      </c>
      <c r="I11" s="11">
        <v>0.28299999999999997</v>
      </c>
      <c r="J11" s="11">
        <v>0</v>
      </c>
      <c r="K11" s="11">
        <v>1</v>
      </c>
      <c r="M11" s="21" t="s">
        <v>104</v>
      </c>
      <c r="N11" s="11">
        <v>0.115</v>
      </c>
      <c r="O11" s="11">
        <v>0.26200000000000001</v>
      </c>
      <c r="P11" s="11">
        <v>0</v>
      </c>
      <c r="Q11" s="11">
        <v>0.9</v>
      </c>
      <c r="S11" s="21" t="s">
        <v>104</v>
      </c>
      <c r="T11" s="11">
        <v>0.14399999999999999</v>
      </c>
      <c r="U11" s="11">
        <v>0.36099999999999999</v>
      </c>
      <c r="V11" s="11">
        <v>0</v>
      </c>
      <c r="W11" s="11">
        <v>1.2</v>
      </c>
      <c r="Y11" s="21" t="s">
        <v>104</v>
      </c>
      <c r="Z11" s="11">
        <v>0.63800000000000001</v>
      </c>
      <c r="AA11" s="11">
        <v>1.06</v>
      </c>
      <c r="AB11" s="11">
        <v>0</v>
      </c>
      <c r="AC11" s="11">
        <v>3.7</v>
      </c>
      <c r="AE11" s="21" t="s">
        <v>104</v>
      </c>
      <c r="AF11" s="11">
        <v>19.681000000000001</v>
      </c>
      <c r="AG11" s="11">
        <v>5.22</v>
      </c>
      <c r="AH11" s="11">
        <v>9.6999999999999993</v>
      </c>
      <c r="AI11" s="11">
        <v>30.1</v>
      </c>
      <c r="AK11" s="21" t="s">
        <v>104</v>
      </c>
      <c r="AL11" s="11">
        <v>22.244</v>
      </c>
      <c r="AM11" s="11">
        <v>4.9980000000000002</v>
      </c>
      <c r="AN11" s="11">
        <v>12.7</v>
      </c>
      <c r="AO11" s="11">
        <v>32.302</v>
      </c>
      <c r="AQ11" s="21" t="s">
        <v>104</v>
      </c>
      <c r="AR11" s="11">
        <v>21.218</v>
      </c>
      <c r="AS11" s="11">
        <v>5.8730000000000002</v>
      </c>
      <c r="AT11" s="11">
        <v>10.497999999999999</v>
      </c>
      <c r="AU11" s="11">
        <v>32.700000000000003</v>
      </c>
      <c r="AW11" s="21" t="s">
        <v>104</v>
      </c>
      <c r="AX11" s="11">
        <v>16.992000000000001</v>
      </c>
      <c r="AY11" s="11">
        <v>3.778</v>
      </c>
      <c r="AZ11" s="11">
        <v>10.1</v>
      </c>
      <c r="BA11" s="11">
        <v>25.102</v>
      </c>
    </row>
    <row r="12" spans="1:53" x14ac:dyDescent="0.25">
      <c r="A12" s="9" t="s">
        <v>14</v>
      </c>
      <c r="B12" s="11">
        <v>1.1839620946505824</v>
      </c>
      <c r="C12" s="11">
        <v>0.5742448266537018</v>
      </c>
      <c r="D12" s="11">
        <v>5.8442234409326943E-2</v>
      </c>
      <c r="E12" s="11">
        <v>2.3094819548918379</v>
      </c>
      <c r="G12" s="22" t="s">
        <v>14</v>
      </c>
      <c r="H12" s="11">
        <v>2.8000000000000001E-2</v>
      </c>
      <c r="I12" s="11">
        <v>0.128</v>
      </c>
      <c r="J12" s="11">
        <v>0</v>
      </c>
      <c r="K12" s="11">
        <v>0.2</v>
      </c>
      <c r="M12" s="22" t="s">
        <v>14</v>
      </c>
      <c r="N12" s="11">
        <v>2.7E-2</v>
      </c>
      <c r="O12" s="11">
        <v>0.114</v>
      </c>
      <c r="P12" s="11">
        <v>0</v>
      </c>
      <c r="Q12" s="11">
        <v>0.2</v>
      </c>
      <c r="S12" s="22" t="s">
        <v>14</v>
      </c>
      <c r="T12" s="11">
        <v>4.2999999999999997E-2</v>
      </c>
      <c r="U12" s="11">
        <v>0.20399999999999999</v>
      </c>
      <c r="V12" s="11">
        <v>0</v>
      </c>
      <c r="W12" s="11">
        <v>0.4</v>
      </c>
      <c r="Y12" s="22" t="s">
        <v>14</v>
      </c>
      <c r="Z12" s="11">
        <v>0.16900000000000001</v>
      </c>
      <c r="AA12" s="11">
        <v>0.57099999999999995</v>
      </c>
      <c r="AB12" s="11">
        <v>0</v>
      </c>
      <c r="AC12" s="11">
        <v>2.1</v>
      </c>
      <c r="AE12" s="22" t="s">
        <v>14</v>
      </c>
      <c r="AF12" s="11">
        <v>6.7489999999999997</v>
      </c>
      <c r="AG12" s="11">
        <v>4.5789999999999997</v>
      </c>
      <c r="AH12" s="11">
        <v>0</v>
      </c>
      <c r="AI12" s="11">
        <v>15.7</v>
      </c>
      <c r="AK12" s="22" t="s">
        <v>14</v>
      </c>
      <c r="AL12" s="11">
        <v>7.08</v>
      </c>
      <c r="AM12" s="11">
        <v>4.0960000000000001</v>
      </c>
      <c r="AN12" s="11">
        <v>0</v>
      </c>
      <c r="AO12" s="11">
        <v>15.2</v>
      </c>
      <c r="AQ12" s="22" t="s">
        <v>14</v>
      </c>
      <c r="AR12" s="11">
        <v>0.51</v>
      </c>
      <c r="AS12" s="11">
        <v>1.534</v>
      </c>
      <c r="AT12" s="11">
        <v>0</v>
      </c>
      <c r="AU12" s="11">
        <v>6</v>
      </c>
      <c r="AW12" s="22" t="s">
        <v>14</v>
      </c>
      <c r="AX12" s="11">
        <v>0.59699999999999998</v>
      </c>
      <c r="AY12" s="11">
        <v>1.712</v>
      </c>
      <c r="AZ12" s="11">
        <v>0</v>
      </c>
      <c r="BA12" s="11">
        <v>6.5</v>
      </c>
    </row>
    <row r="13" spans="1:53" x14ac:dyDescent="0.25">
      <c r="A13" s="9" t="s">
        <v>15</v>
      </c>
      <c r="B13" s="11">
        <v>5.8149494730187588</v>
      </c>
      <c r="C13" s="11">
        <v>0.97780504362540044</v>
      </c>
      <c r="D13" s="11">
        <v>3.8984515875129739</v>
      </c>
      <c r="E13" s="11">
        <v>7.7314473585245436</v>
      </c>
      <c r="G13" s="22" t="s">
        <v>15</v>
      </c>
      <c r="H13" s="11">
        <v>0.109</v>
      </c>
      <c r="I13" s="11">
        <v>0.255</v>
      </c>
      <c r="J13" s="11">
        <v>0</v>
      </c>
      <c r="K13" s="11">
        <v>0.9</v>
      </c>
      <c r="M13" s="22" t="s">
        <v>15</v>
      </c>
      <c r="N13" s="11">
        <v>9.4E-2</v>
      </c>
      <c r="O13" s="11">
        <v>0.23799999999999999</v>
      </c>
      <c r="P13" s="11">
        <v>0</v>
      </c>
      <c r="Q13" s="11">
        <v>0.8</v>
      </c>
      <c r="S13" s="22" t="s">
        <v>15</v>
      </c>
      <c r="T13" s="11">
        <v>0.108</v>
      </c>
      <c r="U13" s="11">
        <v>0.29899999999999999</v>
      </c>
      <c r="V13" s="11">
        <v>0</v>
      </c>
      <c r="W13" s="11">
        <v>0.9</v>
      </c>
      <c r="Y13" s="22" t="s">
        <v>15</v>
      </c>
      <c r="Z13" s="11">
        <v>0.47599999999999998</v>
      </c>
      <c r="AA13" s="11">
        <v>0.91400000000000003</v>
      </c>
      <c r="AB13" s="11">
        <v>0</v>
      </c>
      <c r="AC13" s="11">
        <v>3.2</v>
      </c>
      <c r="AE13" s="22" t="s">
        <v>15</v>
      </c>
      <c r="AF13" s="11">
        <v>12.933999999999999</v>
      </c>
      <c r="AG13" s="11">
        <v>4.7709999999999999</v>
      </c>
      <c r="AH13" s="11">
        <v>3.9980000000000002</v>
      </c>
      <c r="AI13" s="11">
        <v>22.402000000000001</v>
      </c>
      <c r="AK13" s="22" t="s">
        <v>15</v>
      </c>
      <c r="AL13" s="11">
        <v>15.164999999999999</v>
      </c>
      <c r="AM13" s="11">
        <v>4.6539999999999999</v>
      </c>
      <c r="AN13" s="11">
        <v>6.7</v>
      </c>
      <c r="AO13" s="11">
        <v>25</v>
      </c>
      <c r="AQ13" s="22" t="s">
        <v>15</v>
      </c>
      <c r="AR13" s="11">
        <v>20.716000000000001</v>
      </c>
      <c r="AS13" s="11">
        <v>5.8849999999999998</v>
      </c>
      <c r="AT13" s="11">
        <v>10</v>
      </c>
      <c r="AU13" s="11">
        <v>32.299999999999997</v>
      </c>
      <c r="AW13" s="22" t="s">
        <v>15</v>
      </c>
      <c r="AX13" s="11">
        <v>16.396999999999998</v>
      </c>
      <c r="AY13" s="11">
        <v>3.6280000000000001</v>
      </c>
      <c r="AZ13" s="11">
        <v>9.8000000000000007</v>
      </c>
      <c r="BA13" s="11">
        <v>24.2</v>
      </c>
    </row>
    <row r="14" spans="1:53" x14ac:dyDescent="0.25">
      <c r="A14" s="7" t="s">
        <v>105</v>
      </c>
      <c r="B14" s="11">
        <v>2.5090263235211934</v>
      </c>
      <c r="C14" s="11">
        <v>0.33496731124891388</v>
      </c>
      <c r="D14" s="11">
        <v>1.8524903934733223</v>
      </c>
      <c r="E14" s="11">
        <v>3.1655622535690644</v>
      </c>
      <c r="G14" s="21" t="s">
        <v>105</v>
      </c>
      <c r="H14" s="11">
        <v>7.6999999999999999E-2</v>
      </c>
      <c r="I14" s="11">
        <v>0.19600000000000001</v>
      </c>
      <c r="J14" s="11">
        <v>0</v>
      </c>
      <c r="K14" s="11">
        <v>0.7</v>
      </c>
      <c r="M14" s="21" t="s">
        <v>105</v>
      </c>
      <c r="N14" s="11">
        <v>4.5999999999999999E-2</v>
      </c>
      <c r="O14" s="11">
        <v>0.11899999999999999</v>
      </c>
      <c r="P14" s="11">
        <v>0</v>
      </c>
      <c r="Q14" s="11">
        <v>0.4</v>
      </c>
      <c r="S14" s="21" t="s">
        <v>105</v>
      </c>
      <c r="T14" s="11">
        <v>5.1999999999999998E-2</v>
      </c>
      <c r="U14" s="11">
        <v>0.14000000000000001</v>
      </c>
      <c r="V14" s="11">
        <v>0</v>
      </c>
      <c r="W14" s="11">
        <v>0.4</v>
      </c>
      <c r="Y14" s="21" t="s">
        <v>105</v>
      </c>
      <c r="Z14" s="11">
        <v>0.107</v>
      </c>
      <c r="AA14" s="11">
        <v>0.28299999999999997</v>
      </c>
      <c r="AB14" s="11">
        <v>0</v>
      </c>
      <c r="AC14" s="11">
        <v>1</v>
      </c>
      <c r="AE14" s="21" t="s">
        <v>105</v>
      </c>
      <c r="AF14" s="11">
        <v>4.7629999999999999</v>
      </c>
      <c r="AG14" s="11">
        <v>1.48</v>
      </c>
      <c r="AH14" s="11">
        <v>2.2000000000000002</v>
      </c>
      <c r="AI14" s="11">
        <v>8.1</v>
      </c>
      <c r="AK14" s="21" t="s">
        <v>105</v>
      </c>
      <c r="AL14" s="11">
        <v>9.58</v>
      </c>
      <c r="AM14" s="11">
        <v>2.2080000000000002</v>
      </c>
      <c r="AN14" s="11">
        <v>5.6</v>
      </c>
      <c r="AO14" s="11">
        <v>14.3</v>
      </c>
      <c r="AQ14" s="21" t="s">
        <v>105</v>
      </c>
      <c r="AR14" s="11">
        <v>9.4019999999999992</v>
      </c>
      <c r="AS14" s="11">
        <v>1.978</v>
      </c>
      <c r="AT14" s="11">
        <v>6</v>
      </c>
      <c r="AU14" s="11">
        <v>13.6</v>
      </c>
      <c r="AW14" s="21" t="s">
        <v>105</v>
      </c>
      <c r="AX14" s="11">
        <v>4.976</v>
      </c>
      <c r="AY14" s="11">
        <v>1.3380000000000001</v>
      </c>
      <c r="AZ14" s="11">
        <v>2.7</v>
      </c>
      <c r="BA14" s="11">
        <v>7.9</v>
      </c>
    </row>
    <row r="15" spans="1:53" x14ac:dyDescent="0.25">
      <c r="A15" s="9" t="s">
        <v>17</v>
      </c>
      <c r="B15" s="11">
        <v>2.3581690762478069</v>
      </c>
      <c r="C15" s="11">
        <v>0.3214216822008602</v>
      </c>
      <c r="D15" s="11">
        <v>1.728182579134121</v>
      </c>
      <c r="E15" s="11">
        <v>2.9881555733614928</v>
      </c>
      <c r="G15" s="22" t="s">
        <v>17</v>
      </c>
      <c r="H15" s="11">
        <v>4.5999999999999999E-2</v>
      </c>
      <c r="I15" s="11">
        <v>0.14199999999999999</v>
      </c>
      <c r="J15" s="11">
        <v>0</v>
      </c>
      <c r="K15" s="11">
        <v>0.4</v>
      </c>
      <c r="M15" s="22" t="s">
        <v>17</v>
      </c>
      <c r="N15" s="11">
        <v>3.4000000000000002E-2</v>
      </c>
      <c r="O15" s="11">
        <v>0.104</v>
      </c>
      <c r="P15" s="11">
        <v>0</v>
      </c>
      <c r="Q15" s="11">
        <v>0.3</v>
      </c>
      <c r="S15" s="22" t="s">
        <v>17</v>
      </c>
      <c r="T15" s="11">
        <v>3.7999999999999999E-2</v>
      </c>
      <c r="U15" s="11">
        <v>0.123</v>
      </c>
      <c r="V15" s="11">
        <v>0</v>
      </c>
      <c r="W15" s="11">
        <v>0.3</v>
      </c>
      <c r="Y15" s="22" t="s">
        <v>17</v>
      </c>
      <c r="Z15" s="11">
        <v>8.3000000000000004E-2</v>
      </c>
      <c r="AA15" s="11">
        <v>0.25700000000000001</v>
      </c>
      <c r="AB15" s="11">
        <v>0</v>
      </c>
      <c r="AC15" s="11">
        <v>0.8</v>
      </c>
      <c r="AE15" s="22" t="s">
        <v>17</v>
      </c>
      <c r="AF15" s="11">
        <v>4.742</v>
      </c>
      <c r="AG15" s="11">
        <v>1.4750000000000001</v>
      </c>
      <c r="AH15" s="11">
        <v>2.2000000000000002</v>
      </c>
      <c r="AI15" s="11">
        <v>8.1</v>
      </c>
      <c r="AK15" s="22" t="s">
        <v>17</v>
      </c>
      <c r="AL15" s="11">
        <v>7.3739999999999997</v>
      </c>
      <c r="AM15" s="11">
        <v>1.89</v>
      </c>
      <c r="AN15" s="11">
        <v>4.0999999999999996</v>
      </c>
      <c r="AO15" s="11">
        <v>11.4</v>
      </c>
      <c r="AQ15" s="22" t="s">
        <v>17</v>
      </c>
      <c r="AR15" s="11">
        <v>9.1669999999999998</v>
      </c>
      <c r="AS15" s="11">
        <v>1.9119999999999999</v>
      </c>
      <c r="AT15" s="11">
        <v>5.8</v>
      </c>
      <c r="AU15" s="11">
        <v>13.3</v>
      </c>
      <c r="AW15" s="22" t="s">
        <v>17</v>
      </c>
      <c r="AX15" s="11">
        <v>4.9640000000000004</v>
      </c>
      <c r="AY15" s="11">
        <v>1.335</v>
      </c>
      <c r="AZ15" s="11">
        <v>2.7</v>
      </c>
      <c r="BA15" s="11">
        <v>7.9</v>
      </c>
    </row>
    <row r="16" spans="1:53" x14ac:dyDescent="0.25">
      <c r="A16" s="9" t="s">
        <v>18</v>
      </c>
      <c r="B16" s="11">
        <v>0.15468426824807321</v>
      </c>
      <c r="C16" s="11">
        <v>9.7670836130071825E-2</v>
      </c>
      <c r="D16" s="11">
        <v>0</v>
      </c>
      <c r="E16" s="11">
        <v>0.34611910706301396</v>
      </c>
      <c r="G16" s="22" t="s">
        <v>18</v>
      </c>
      <c r="H16" s="11">
        <v>3.5000000000000003E-2</v>
      </c>
      <c r="I16" s="11">
        <v>0.14000000000000001</v>
      </c>
      <c r="J16" s="11">
        <v>0</v>
      </c>
      <c r="K16" s="11">
        <v>0.3</v>
      </c>
      <c r="M16" s="22" t="s">
        <v>18</v>
      </c>
      <c r="N16" s="11">
        <v>1.4999999999999999E-2</v>
      </c>
      <c r="O16" s="11">
        <v>6.2E-2</v>
      </c>
      <c r="P16" s="11">
        <v>0</v>
      </c>
      <c r="Q16" s="11">
        <v>0.1</v>
      </c>
      <c r="S16" s="22" t="s">
        <v>18</v>
      </c>
      <c r="T16" s="11">
        <v>1.7999999999999999E-2</v>
      </c>
      <c r="U16" s="11">
        <v>7.2999999999999995E-2</v>
      </c>
      <c r="V16" s="11">
        <v>0</v>
      </c>
      <c r="W16" s="11">
        <v>0.1</v>
      </c>
      <c r="Y16" s="22" t="s">
        <v>18</v>
      </c>
      <c r="Z16" s="11">
        <v>2.8000000000000001E-2</v>
      </c>
      <c r="AA16" s="11">
        <v>0.124</v>
      </c>
      <c r="AB16" s="11">
        <v>0</v>
      </c>
      <c r="AC16" s="11">
        <v>0.3</v>
      </c>
      <c r="AE16" s="22" t="s">
        <v>18</v>
      </c>
      <c r="AF16" s="11">
        <v>2.9000000000000001E-2</v>
      </c>
      <c r="AG16" s="11">
        <v>0.128</v>
      </c>
      <c r="AH16" s="11">
        <v>0</v>
      </c>
      <c r="AI16" s="11">
        <v>0.3</v>
      </c>
      <c r="AK16" s="22" t="s">
        <v>18</v>
      </c>
      <c r="AL16" s="11">
        <v>2.202</v>
      </c>
      <c r="AM16" s="11">
        <v>1.167</v>
      </c>
      <c r="AN16" s="11">
        <v>0.4</v>
      </c>
      <c r="AO16" s="11">
        <v>4.9000000000000004</v>
      </c>
      <c r="AQ16" s="22" t="s">
        <v>18</v>
      </c>
      <c r="AR16" s="11">
        <v>0.23799999999999999</v>
      </c>
      <c r="AS16" s="11">
        <v>0.52800000000000002</v>
      </c>
      <c r="AT16" s="11">
        <v>0</v>
      </c>
      <c r="AU16" s="11">
        <v>1.9</v>
      </c>
      <c r="AW16" s="22" t="s">
        <v>18</v>
      </c>
      <c r="AX16" s="11">
        <v>1.7000000000000001E-2</v>
      </c>
      <c r="AY16" s="11">
        <v>7.3999999999999996E-2</v>
      </c>
      <c r="AZ16" s="11">
        <v>0</v>
      </c>
      <c r="BA16" s="11">
        <v>0.1</v>
      </c>
    </row>
    <row r="17" spans="1:53" x14ac:dyDescent="0.25">
      <c r="A17" t="s">
        <v>41</v>
      </c>
      <c r="B17" s="11">
        <v>18.92907733560698</v>
      </c>
      <c r="C17" s="11">
        <v>1.2356811231021096</v>
      </c>
      <c r="D17" s="11">
        <v>16.507142334326844</v>
      </c>
      <c r="E17" s="11">
        <v>21.351012336887116</v>
      </c>
      <c r="G17" s="20" t="s">
        <v>41</v>
      </c>
      <c r="H17" s="11">
        <v>0.25900000000000001</v>
      </c>
      <c r="I17" s="11">
        <v>0.438</v>
      </c>
      <c r="J17" s="11">
        <v>0</v>
      </c>
      <c r="K17" s="11">
        <v>1.6</v>
      </c>
      <c r="M17" s="20" t="s">
        <v>41</v>
      </c>
      <c r="N17" s="11">
        <v>0.72599999999999998</v>
      </c>
      <c r="O17" s="11">
        <v>0.95099999999999996</v>
      </c>
      <c r="P17" s="11">
        <v>0</v>
      </c>
      <c r="Q17" s="11">
        <v>3.3</v>
      </c>
      <c r="S17" s="20" t="s">
        <v>41</v>
      </c>
      <c r="T17" s="11">
        <v>2.8290000000000002</v>
      </c>
      <c r="U17" s="11">
        <v>1.851</v>
      </c>
      <c r="V17" s="11">
        <v>0</v>
      </c>
      <c r="W17" s="11">
        <v>6.8</v>
      </c>
      <c r="Y17" s="20" t="s">
        <v>41</v>
      </c>
      <c r="Z17" s="11">
        <v>4.9640000000000004</v>
      </c>
      <c r="AA17" s="11">
        <v>2.2730000000000001</v>
      </c>
      <c r="AB17" s="11">
        <v>0.4</v>
      </c>
      <c r="AC17" s="11">
        <v>9.6999999999999993</v>
      </c>
      <c r="AE17" s="20" t="s">
        <v>41</v>
      </c>
      <c r="AF17" s="11">
        <v>27.763999999999999</v>
      </c>
      <c r="AG17" s="11">
        <v>6.3630000000000004</v>
      </c>
      <c r="AH17" s="11">
        <v>15.8</v>
      </c>
      <c r="AI17" s="11">
        <v>40.4</v>
      </c>
      <c r="AK17" s="20" t="s">
        <v>41</v>
      </c>
      <c r="AL17" s="11">
        <v>48.152999999999999</v>
      </c>
      <c r="AM17" s="11">
        <v>5.9420000000000002</v>
      </c>
      <c r="AN17" s="11">
        <v>36.700000000000003</v>
      </c>
      <c r="AO17" s="11">
        <v>59.9</v>
      </c>
      <c r="AQ17" s="20" t="s">
        <v>41</v>
      </c>
      <c r="AR17" s="11">
        <v>63.585000000000001</v>
      </c>
      <c r="AS17" s="11">
        <v>6.67</v>
      </c>
      <c r="AT17" s="11">
        <v>50.6</v>
      </c>
      <c r="AU17" s="11">
        <v>76.3</v>
      </c>
      <c r="AW17" s="20" t="s">
        <v>41</v>
      </c>
      <c r="AX17" s="11">
        <v>77.247</v>
      </c>
      <c r="AY17" s="11">
        <v>3.9049999999999998</v>
      </c>
      <c r="AZ17" s="11">
        <v>69.099999999999994</v>
      </c>
      <c r="BA17" s="11">
        <v>84.3</v>
      </c>
    </row>
    <row r="18" spans="1:53" x14ac:dyDescent="0.25">
      <c r="A18" t="s">
        <v>106</v>
      </c>
      <c r="B18" s="11">
        <v>8.3166847248977245</v>
      </c>
      <c r="C18" s="11">
        <v>1.0069043891071621</v>
      </c>
      <c r="D18" s="11">
        <v>6.3431521222476865</v>
      </c>
      <c r="E18" s="11">
        <v>10.290217327547762</v>
      </c>
      <c r="G18" s="20" t="s">
        <v>106</v>
      </c>
      <c r="H18" s="11">
        <v>0.17299999999999999</v>
      </c>
      <c r="I18" s="11">
        <v>0.315</v>
      </c>
      <c r="J18" s="11">
        <v>0</v>
      </c>
      <c r="K18" s="11">
        <v>1.1000000000000001</v>
      </c>
      <c r="M18" s="20" t="s">
        <v>106</v>
      </c>
      <c r="N18" s="11">
        <v>0.127</v>
      </c>
      <c r="O18" s="11">
        <v>0.26400000000000001</v>
      </c>
      <c r="P18" s="11">
        <v>0</v>
      </c>
      <c r="Q18" s="11">
        <v>0.9</v>
      </c>
      <c r="S18" s="20" t="s">
        <v>106</v>
      </c>
      <c r="T18" s="11">
        <v>0.14699999999999999</v>
      </c>
      <c r="U18" s="11">
        <v>0.32600000000000001</v>
      </c>
      <c r="V18" s="11">
        <v>0</v>
      </c>
      <c r="W18" s="11">
        <v>1</v>
      </c>
      <c r="Y18" s="20" t="s">
        <v>106</v>
      </c>
      <c r="Z18" s="11">
        <v>0.56999999999999995</v>
      </c>
      <c r="AA18" s="11">
        <v>0.95299999999999996</v>
      </c>
      <c r="AB18" s="11">
        <v>0</v>
      </c>
      <c r="AC18" s="11">
        <v>3.4</v>
      </c>
      <c r="AE18" s="20" t="s">
        <v>106</v>
      </c>
      <c r="AF18" s="11">
        <v>17.698</v>
      </c>
      <c r="AG18" s="11">
        <v>4.9779999999999998</v>
      </c>
      <c r="AH18" s="11">
        <v>8.1</v>
      </c>
      <c r="AI18" s="11">
        <v>27.402000000000001</v>
      </c>
      <c r="AK18" s="20" t="s">
        <v>106</v>
      </c>
      <c r="AL18" s="11">
        <v>24.745999999999999</v>
      </c>
      <c r="AM18" s="11">
        <v>4.9089999999999998</v>
      </c>
      <c r="AN18" s="11">
        <v>15.7</v>
      </c>
      <c r="AO18" s="11">
        <v>34.6</v>
      </c>
      <c r="AQ18" s="20" t="s">
        <v>106</v>
      </c>
      <c r="AR18" s="11">
        <v>30.122</v>
      </c>
      <c r="AS18" s="11">
        <v>5.9989999999999997</v>
      </c>
      <c r="AT18" s="11">
        <v>19.100000000000001</v>
      </c>
      <c r="AU18" s="11">
        <v>41.7</v>
      </c>
      <c r="AW18" s="20" t="s">
        <v>106</v>
      </c>
      <c r="AX18" s="11">
        <v>21.384</v>
      </c>
      <c r="AY18" s="11">
        <v>3.7480000000000002</v>
      </c>
      <c r="AZ18" s="11">
        <v>14.6</v>
      </c>
      <c r="BA18" s="11">
        <v>29.2</v>
      </c>
    </row>
    <row r="19" spans="1:53" x14ac:dyDescent="0.25">
      <c r="A19" t="s">
        <v>22</v>
      </c>
      <c r="B19" s="11">
        <v>20.234982296598062</v>
      </c>
      <c r="C19" s="11">
        <v>0.81989947392076634</v>
      </c>
      <c r="D19" s="11">
        <v>18.627979327713359</v>
      </c>
      <c r="E19" s="11">
        <v>21.841985265482766</v>
      </c>
      <c r="G19" s="20" t="s">
        <v>22</v>
      </c>
      <c r="H19" s="11">
        <v>0.33700000000000002</v>
      </c>
      <c r="I19" s="11">
        <v>0.502</v>
      </c>
      <c r="J19" s="11">
        <v>0</v>
      </c>
      <c r="K19" s="11">
        <v>1.8</v>
      </c>
      <c r="M19" s="20" t="s">
        <v>22</v>
      </c>
      <c r="N19" s="11">
        <v>0.24199999999999999</v>
      </c>
      <c r="O19" s="11">
        <v>0.41899999999999998</v>
      </c>
      <c r="P19" s="11">
        <v>0</v>
      </c>
      <c r="Q19" s="11">
        <v>1.4</v>
      </c>
      <c r="S19" s="20" t="s">
        <v>22</v>
      </c>
      <c r="T19" s="11">
        <v>2.726</v>
      </c>
      <c r="U19" s="11">
        <v>1.7609999999999999</v>
      </c>
      <c r="V19" s="11">
        <v>0</v>
      </c>
      <c r="W19" s="11">
        <v>6.6</v>
      </c>
      <c r="Y19" s="20" t="s">
        <v>22</v>
      </c>
      <c r="Z19" s="11">
        <v>5.4950000000000001</v>
      </c>
      <c r="AA19" s="11">
        <v>2.0790000000000002</v>
      </c>
      <c r="AB19" s="11">
        <v>1.8</v>
      </c>
      <c r="AC19" s="11">
        <v>10</v>
      </c>
      <c r="AE19" s="20" t="s">
        <v>22</v>
      </c>
      <c r="AF19" s="11">
        <v>48.612000000000002</v>
      </c>
      <c r="AG19" s="11">
        <v>3.9</v>
      </c>
      <c r="AH19" s="11">
        <v>41</v>
      </c>
      <c r="AI19" s="11">
        <v>56.4</v>
      </c>
      <c r="AK19" s="20" t="s">
        <v>22</v>
      </c>
      <c r="AL19" s="11">
        <v>71.634</v>
      </c>
      <c r="AM19" s="11">
        <v>4.0090000000000003</v>
      </c>
      <c r="AN19" s="11">
        <v>63.5</v>
      </c>
      <c r="AO19" s="11">
        <v>79.099999999999994</v>
      </c>
      <c r="AQ19" s="20" t="s">
        <v>22</v>
      </c>
      <c r="AR19" s="11">
        <v>60.902999999999999</v>
      </c>
      <c r="AS19" s="11">
        <v>4.0469999999999997</v>
      </c>
      <c r="AT19" s="11">
        <v>52.8</v>
      </c>
      <c r="AU19" s="11">
        <v>68.8</v>
      </c>
      <c r="AW19" s="20" t="s">
        <v>22</v>
      </c>
      <c r="AX19" s="11">
        <v>47.74</v>
      </c>
      <c r="AY19" s="11">
        <v>3.3290000000000002</v>
      </c>
      <c r="AZ19" s="11">
        <v>41.1</v>
      </c>
      <c r="BA19" s="11">
        <v>54.1</v>
      </c>
    </row>
    <row r="20" spans="1:53" x14ac:dyDescent="0.25">
      <c r="A20" t="s">
        <v>42</v>
      </c>
      <c r="B20" s="11">
        <v>90.504399253384676</v>
      </c>
      <c r="C20" s="11">
        <v>1.0257720941191817</v>
      </c>
      <c r="D20" s="11">
        <v>88.493885948911085</v>
      </c>
      <c r="E20" s="11">
        <v>92.514912557858267</v>
      </c>
      <c r="G20" s="20" t="s">
        <v>42</v>
      </c>
      <c r="H20" s="11">
        <v>99.805999999999997</v>
      </c>
      <c r="I20" s="11">
        <v>0.33600000000000002</v>
      </c>
      <c r="J20" s="11">
        <v>98.8</v>
      </c>
      <c r="K20" s="11">
        <v>100</v>
      </c>
      <c r="M20" s="20" t="s">
        <v>42</v>
      </c>
      <c r="N20" s="11">
        <v>99.852999999999994</v>
      </c>
      <c r="O20" s="11">
        <v>0.28299999999999997</v>
      </c>
      <c r="P20" s="11">
        <v>99</v>
      </c>
      <c r="Q20" s="11">
        <v>100</v>
      </c>
      <c r="S20" s="20" t="s">
        <v>42</v>
      </c>
      <c r="T20" s="11">
        <v>99.817999999999998</v>
      </c>
      <c r="U20" s="11">
        <v>0.38300000000000001</v>
      </c>
      <c r="V20" s="11">
        <v>98.7</v>
      </c>
      <c r="W20" s="11">
        <v>100</v>
      </c>
      <c r="Y20" s="20" t="s">
        <v>42</v>
      </c>
      <c r="Z20" s="11">
        <v>99.268000000000001</v>
      </c>
      <c r="AA20" s="11">
        <v>1.0900000000000001</v>
      </c>
      <c r="AB20" s="11">
        <v>96.2</v>
      </c>
      <c r="AC20" s="11">
        <v>100</v>
      </c>
      <c r="AE20" s="20" t="s">
        <v>42</v>
      </c>
      <c r="AF20" s="11">
        <v>75.55</v>
      </c>
      <c r="AG20" s="11">
        <v>5.2489999999999997</v>
      </c>
      <c r="AH20" s="11">
        <v>65.2</v>
      </c>
      <c r="AI20" s="11">
        <v>85.602000000000004</v>
      </c>
      <c r="AK20" s="20" t="s">
        <v>42</v>
      </c>
      <c r="AL20" s="11">
        <v>68.168999999999997</v>
      </c>
      <c r="AM20" s="11">
        <v>5.1769999999999996</v>
      </c>
      <c r="AN20" s="11">
        <v>57.8</v>
      </c>
      <c r="AO20" s="11">
        <v>78.001999999999995</v>
      </c>
      <c r="AQ20" s="20" t="s">
        <v>42</v>
      </c>
      <c r="AR20" s="11">
        <v>69.372</v>
      </c>
      <c r="AS20" s="11">
        <v>5.9690000000000003</v>
      </c>
      <c r="AT20" s="11">
        <v>57.8</v>
      </c>
      <c r="AU20" s="11">
        <v>80.400000000000006</v>
      </c>
      <c r="AW20" s="20" t="s">
        <v>42</v>
      </c>
      <c r="AX20" s="11">
        <v>78.024000000000001</v>
      </c>
      <c r="AY20" s="11">
        <v>3.8650000000000002</v>
      </c>
      <c r="AZ20" s="11">
        <v>69.8</v>
      </c>
      <c r="BA20" s="11">
        <v>85</v>
      </c>
    </row>
    <row r="21" spans="1:53" x14ac:dyDescent="0.25">
      <c r="A21" t="s">
        <v>21</v>
      </c>
      <c r="B21" s="11">
        <v>9.4956007466153221</v>
      </c>
      <c r="C21" s="11">
        <v>1.0257809508672036</v>
      </c>
      <c r="D21" s="11">
        <v>7.4850700829156036</v>
      </c>
      <c r="E21" s="11">
        <v>11.50613141031504</v>
      </c>
      <c r="G21" s="20" t="s">
        <v>21</v>
      </c>
      <c r="H21" s="11">
        <v>0.19400000000000001</v>
      </c>
      <c r="I21" s="11">
        <v>0.33800000000000002</v>
      </c>
      <c r="J21" s="11">
        <v>0</v>
      </c>
      <c r="K21" s="11">
        <v>1.2</v>
      </c>
      <c r="M21" s="20" t="s">
        <v>21</v>
      </c>
      <c r="N21" s="11">
        <v>0.14699999999999999</v>
      </c>
      <c r="O21" s="11">
        <v>0.28599999999999998</v>
      </c>
      <c r="P21" s="11">
        <v>0</v>
      </c>
      <c r="Q21" s="11">
        <v>1</v>
      </c>
      <c r="S21" s="20" t="s">
        <v>21</v>
      </c>
      <c r="T21" s="11">
        <v>0.182</v>
      </c>
      <c r="U21" s="11">
        <v>0.38500000000000001</v>
      </c>
      <c r="V21" s="11">
        <v>0</v>
      </c>
      <c r="W21" s="11">
        <v>1.3</v>
      </c>
      <c r="Y21" s="20" t="s">
        <v>21</v>
      </c>
      <c r="Z21" s="11">
        <v>0.73199999999999998</v>
      </c>
      <c r="AA21" s="11">
        <v>1.0920000000000001</v>
      </c>
      <c r="AB21" s="11">
        <v>0</v>
      </c>
      <c r="AC21" s="11">
        <v>3.8</v>
      </c>
      <c r="AE21" s="20" t="s">
        <v>21</v>
      </c>
      <c r="AF21" s="11">
        <v>24.45</v>
      </c>
      <c r="AG21" s="11">
        <v>5.2489999999999997</v>
      </c>
      <c r="AH21" s="11">
        <v>14.3</v>
      </c>
      <c r="AI21" s="11">
        <v>34.799999999999997</v>
      </c>
      <c r="AK21" s="20" t="s">
        <v>21</v>
      </c>
      <c r="AL21" s="11">
        <v>31.831</v>
      </c>
      <c r="AM21" s="11">
        <v>5.1779999999999999</v>
      </c>
      <c r="AN21" s="11">
        <v>21.9</v>
      </c>
      <c r="AO21" s="11">
        <v>42.2</v>
      </c>
      <c r="AQ21" s="20" t="s">
        <v>21</v>
      </c>
      <c r="AR21" s="11">
        <v>30.628</v>
      </c>
      <c r="AS21" s="11">
        <v>5.968</v>
      </c>
      <c r="AT21" s="11">
        <v>19.600000000000001</v>
      </c>
      <c r="AU21" s="11">
        <v>42.1</v>
      </c>
      <c r="AW21" s="20" t="s">
        <v>21</v>
      </c>
      <c r="AX21" s="11">
        <v>21.975999999999999</v>
      </c>
      <c r="AY21" s="11">
        <v>3.8650000000000002</v>
      </c>
      <c r="AZ21" s="11">
        <v>15</v>
      </c>
      <c r="BA21" s="11">
        <v>30.2</v>
      </c>
    </row>
    <row r="22" spans="1:53" x14ac:dyDescent="0.25">
      <c r="B22" s="11"/>
      <c r="C22" s="11"/>
      <c r="D22" s="11"/>
      <c r="E22" s="11"/>
    </row>
    <row r="25" spans="1:53" x14ac:dyDescent="0.25">
      <c r="A25" s="5" t="s">
        <v>182</v>
      </c>
      <c r="G25" s="16" t="s">
        <v>195</v>
      </c>
    </row>
    <row r="26" spans="1:53" x14ac:dyDescent="0.25">
      <c r="A26" t="s">
        <v>64</v>
      </c>
      <c r="B26" t="s">
        <v>65</v>
      </c>
      <c r="C26" t="s">
        <v>34</v>
      </c>
      <c r="D26" t="s">
        <v>111</v>
      </c>
      <c r="G26" s="16" t="s">
        <v>196</v>
      </c>
    </row>
    <row r="27" spans="1:53" x14ac:dyDescent="0.25">
      <c r="A27" t="s">
        <v>9</v>
      </c>
      <c r="B27" s="11">
        <v>98.110103841322726</v>
      </c>
      <c r="C27" s="11">
        <v>0.64304123693986237</v>
      </c>
      <c r="D27" s="11">
        <v>96.849743016920598</v>
      </c>
      <c r="E27" s="11">
        <v>99.370464665724853</v>
      </c>
      <c r="G27" s="17" t="s">
        <v>197</v>
      </c>
    </row>
    <row r="28" spans="1:53" x14ac:dyDescent="0.25">
      <c r="A28" s="7" t="s">
        <v>10</v>
      </c>
      <c r="B28" s="11">
        <v>75.662691375751038</v>
      </c>
      <c r="C28" s="11">
        <v>3.7064416944429235</v>
      </c>
      <c r="D28" s="11">
        <v>68.398065654642906</v>
      </c>
      <c r="E28" s="11">
        <v>82.92731709685917</v>
      </c>
      <c r="G28" s="18" t="s">
        <v>198</v>
      </c>
    </row>
    <row r="29" spans="1:53" x14ac:dyDescent="0.25">
      <c r="A29" s="7" t="s">
        <v>101</v>
      </c>
      <c r="B29" s="11">
        <v>22.406308203472804</v>
      </c>
      <c r="C29" s="11">
        <v>3.7578694154992642</v>
      </c>
      <c r="D29" s="11">
        <v>15.040884149094246</v>
      </c>
      <c r="E29" s="11">
        <v>29.771732257851362</v>
      </c>
      <c r="G29" s="18" t="s">
        <v>199</v>
      </c>
    </row>
    <row r="30" spans="1:53" x14ac:dyDescent="0.25">
      <c r="A30" s="9" t="s">
        <v>126</v>
      </c>
      <c r="B30" s="11">
        <v>17.708728249249095</v>
      </c>
      <c r="C30" s="11">
        <v>4.0015366744016569</v>
      </c>
      <c r="D30" s="11">
        <v>9.8657163674218467</v>
      </c>
      <c r="E30" s="11">
        <v>25.551740131076343</v>
      </c>
      <c r="G30" s="18" t="s">
        <v>214</v>
      </c>
    </row>
    <row r="31" spans="1:53" x14ac:dyDescent="0.25">
      <c r="A31" s="9" t="s">
        <v>103</v>
      </c>
      <c r="B31" s="11">
        <v>4.6854558605807544</v>
      </c>
      <c r="C31" s="11">
        <v>1.1633095299133476</v>
      </c>
      <c r="D31" s="11">
        <v>2.4053691819505931</v>
      </c>
      <c r="E31" s="11">
        <v>6.9655425392109152</v>
      </c>
      <c r="G31" s="16" t="s">
        <v>201</v>
      </c>
    </row>
    <row r="32" spans="1:53" x14ac:dyDescent="0.25">
      <c r="A32" t="s">
        <v>11</v>
      </c>
      <c r="B32" s="11">
        <v>1.8898961586772876</v>
      </c>
      <c r="C32" s="11">
        <v>0.64330347676601396</v>
      </c>
      <c r="D32" s="11">
        <v>0.62902134421590028</v>
      </c>
      <c r="E32" s="11">
        <v>3.150770973138675</v>
      </c>
      <c r="G32" s="16" t="s">
        <v>202</v>
      </c>
    </row>
    <row r="33" spans="1:7" x14ac:dyDescent="0.25">
      <c r="A33" s="7" t="s">
        <v>103</v>
      </c>
      <c r="B33" s="11">
        <v>0.29036053036497395</v>
      </c>
      <c r="C33" s="11">
        <v>0.27461519261246486</v>
      </c>
      <c r="D33" s="11">
        <v>0</v>
      </c>
      <c r="E33" s="11">
        <v>0.82860630788540512</v>
      </c>
      <c r="G33" s="16" t="s">
        <v>203</v>
      </c>
    </row>
    <row r="34" spans="1:7" x14ac:dyDescent="0.25">
      <c r="A34" s="7" t="s">
        <v>38</v>
      </c>
      <c r="B34" s="11">
        <v>1.3803891150921499</v>
      </c>
      <c r="C34" s="11">
        <v>0.57711944296767692</v>
      </c>
      <c r="D34" s="11">
        <v>0.24923500687550315</v>
      </c>
      <c r="E34" s="11">
        <v>2.5115432233087969</v>
      </c>
      <c r="G34" s="16" t="s">
        <v>204</v>
      </c>
    </row>
    <row r="35" spans="1:7" x14ac:dyDescent="0.25">
      <c r="A35" s="7" t="s">
        <v>104</v>
      </c>
      <c r="B35" s="11">
        <v>0.19503578883062667</v>
      </c>
      <c r="C35" s="11">
        <v>0.20584629198428528</v>
      </c>
      <c r="D35" s="11">
        <v>0</v>
      </c>
      <c r="E35" s="11">
        <v>0.59849452111982582</v>
      </c>
      <c r="G35" s="16" t="s">
        <v>205</v>
      </c>
    </row>
    <row r="36" spans="1:7" x14ac:dyDescent="0.25">
      <c r="A36" s="9" t="s">
        <v>14</v>
      </c>
      <c r="B36" s="11">
        <v>4.9672121865087737E-2</v>
      </c>
      <c r="C36" s="11">
        <v>0.10605758099264309</v>
      </c>
      <c r="D36" s="11">
        <v>0</v>
      </c>
      <c r="E36" s="11">
        <v>0.25754498061066822</v>
      </c>
      <c r="G36" s="16" t="s">
        <v>206</v>
      </c>
    </row>
    <row r="37" spans="1:7" x14ac:dyDescent="0.25">
      <c r="A37" s="9" t="s">
        <v>15</v>
      </c>
      <c r="B37" s="11">
        <v>0.15176064589660127</v>
      </c>
      <c r="C37" s="11">
        <v>0.17893863524552309</v>
      </c>
      <c r="D37" s="11">
        <v>0</v>
      </c>
      <c r="E37" s="11">
        <v>0.5024803709778265</v>
      </c>
      <c r="G37" s="16" t="s">
        <v>207</v>
      </c>
    </row>
    <row r="38" spans="1:7" x14ac:dyDescent="0.25">
      <c r="A38" s="7" t="s">
        <v>105</v>
      </c>
      <c r="B38" s="11">
        <v>6.698509829019425E-2</v>
      </c>
      <c r="C38" s="11">
        <v>9.4168007113620736E-2</v>
      </c>
      <c r="D38" s="11">
        <v>0</v>
      </c>
      <c r="E38" s="11">
        <v>0.25155439223289089</v>
      </c>
      <c r="G38" s="16" t="s">
        <v>208</v>
      </c>
    </row>
    <row r="39" spans="1:7" x14ac:dyDescent="0.25">
      <c r="A39" s="9" t="s">
        <v>17</v>
      </c>
      <c r="B39" s="11">
        <v>4.5789543348775649E-2</v>
      </c>
      <c r="C39" s="11">
        <v>7.4619410703781058E-2</v>
      </c>
      <c r="D39" s="11">
        <v>0</v>
      </c>
      <c r="E39" s="11">
        <v>0.19204358832818652</v>
      </c>
      <c r="G39" s="16" t="s">
        <v>209</v>
      </c>
    </row>
    <row r="40" spans="1:7" x14ac:dyDescent="0.25">
      <c r="A40" s="9" t="s">
        <v>18</v>
      </c>
      <c r="B40" s="11">
        <v>2.496811971237612E-2</v>
      </c>
      <c r="C40" s="11">
        <v>5.99972286711234E-2</v>
      </c>
      <c r="D40" s="11">
        <v>0</v>
      </c>
      <c r="E40" s="11">
        <v>0.14256268790777799</v>
      </c>
      <c r="G40" s="16" t="s">
        <v>210</v>
      </c>
    </row>
    <row r="41" spans="1:7" x14ac:dyDescent="0.25">
      <c r="A41" t="s">
        <v>41</v>
      </c>
      <c r="B41" s="11">
        <v>1.6556251216874269</v>
      </c>
      <c r="C41" s="11">
        <v>0.63808443876905496</v>
      </c>
      <c r="D41" s="11">
        <v>0.40497962170007917</v>
      </c>
      <c r="E41" s="11">
        <v>2.9062706216747749</v>
      </c>
      <c r="G41" s="16" t="s">
        <v>211</v>
      </c>
    </row>
    <row r="42" spans="1:7" x14ac:dyDescent="0.25">
      <c r="A42" t="s">
        <v>106</v>
      </c>
      <c r="B42" s="11">
        <v>0.20574574418679553</v>
      </c>
      <c r="C42" s="11">
        <v>0.19979676552294937</v>
      </c>
      <c r="D42" s="11">
        <v>0</v>
      </c>
      <c r="E42" s="11">
        <v>0.59734740461177627</v>
      </c>
      <c r="G42" s="16" t="s">
        <v>212</v>
      </c>
    </row>
    <row r="43" spans="1:7" x14ac:dyDescent="0.25">
      <c r="A43" t="s">
        <v>22</v>
      </c>
      <c r="B43" s="11">
        <v>1.6141838885327586</v>
      </c>
      <c r="C43" s="11">
        <v>0.58364621686111806</v>
      </c>
      <c r="D43" s="11">
        <v>0.47023730348496717</v>
      </c>
      <c r="E43" s="11">
        <v>2.7581304735805503</v>
      </c>
      <c r="G43" s="19" t="s">
        <v>213</v>
      </c>
    </row>
    <row r="44" spans="1:7" x14ac:dyDescent="0.25">
      <c r="A44" t="s">
        <v>42</v>
      </c>
      <c r="B44" s="11">
        <v>99.751852566267047</v>
      </c>
      <c r="C44" s="11">
        <v>0.22320971448810034</v>
      </c>
      <c r="D44" s="11">
        <v>99.314361525870368</v>
      </c>
      <c r="E44" s="11">
        <v>100</v>
      </c>
    </row>
    <row r="45" spans="1:7" x14ac:dyDescent="0.25">
      <c r="A45" t="s">
        <v>21</v>
      </c>
      <c r="B45" s="11">
        <v>0.24814743373294945</v>
      </c>
      <c r="C45" s="11">
        <v>0.22423926522839965</v>
      </c>
      <c r="D45" s="11">
        <v>0</v>
      </c>
      <c r="E45" s="11">
        <v>0.68765639358061281</v>
      </c>
    </row>
    <row r="46" spans="1:7" x14ac:dyDescent="0.25">
      <c r="B46" s="11"/>
      <c r="C46" s="11"/>
      <c r="D46" s="11"/>
      <c r="E46" s="11"/>
    </row>
    <row r="49" spans="1:5" x14ac:dyDescent="0.25">
      <c r="A49" s="5" t="s">
        <v>183</v>
      </c>
    </row>
    <row r="50" spans="1:5" x14ac:dyDescent="0.25">
      <c r="A50" t="s">
        <v>64</v>
      </c>
      <c r="B50" t="s">
        <v>65</v>
      </c>
      <c r="C50" t="s">
        <v>34</v>
      </c>
      <c r="D50" t="s">
        <v>111</v>
      </c>
    </row>
    <row r="51" spans="1:5" x14ac:dyDescent="0.25">
      <c r="A51" t="s">
        <v>9</v>
      </c>
      <c r="B51" s="11">
        <v>20.095496624097802</v>
      </c>
      <c r="C51" s="11">
        <v>1.823469164358233</v>
      </c>
      <c r="D51" s="11">
        <v>16.521497061955664</v>
      </c>
      <c r="E51" s="11">
        <v>23.66949618623994</v>
      </c>
    </row>
    <row r="52" spans="1:5" x14ac:dyDescent="0.25">
      <c r="A52" s="7" t="s">
        <v>10</v>
      </c>
      <c r="B52" s="11">
        <v>6.2559955014855575</v>
      </c>
      <c r="C52" s="11">
        <v>1.1469768403113414</v>
      </c>
      <c r="D52" s="11">
        <v>4.007920894475328</v>
      </c>
      <c r="E52" s="11">
        <v>8.504070108495787</v>
      </c>
    </row>
    <row r="53" spans="1:5" x14ac:dyDescent="0.25">
      <c r="A53" s="7" t="s">
        <v>101</v>
      </c>
      <c r="B53" s="11">
        <v>13.836080993423618</v>
      </c>
      <c r="C53" s="11">
        <v>2.0144825085696358</v>
      </c>
      <c r="D53" s="11">
        <v>9.8876952766271309</v>
      </c>
      <c r="E53" s="11">
        <v>17.784466710220105</v>
      </c>
    </row>
    <row r="54" spans="1:5" x14ac:dyDescent="0.25">
      <c r="A54" s="9" t="s">
        <v>126</v>
      </c>
      <c r="B54" s="11">
        <v>5.3585002525499474</v>
      </c>
      <c r="C54" s="11">
        <v>1.8133421169467294</v>
      </c>
      <c r="D54" s="11">
        <v>1.8043497033343576</v>
      </c>
      <c r="E54" s="11">
        <v>8.9126508017655368</v>
      </c>
    </row>
    <row r="55" spans="1:5" x14ac:dyDescent="0.25">
      <c r="A55" s="9" t="s">
        <v>103</v>
      </c>
      <c r="B55" s="11">
        <v>8.4858269553969556</v>
      </c>
      <c r="C55" s="11">
        <v>1.4013975087814243</v>
      </c>
      <c r="D55" s="11">
        <v>5.7390878381853643</v>
      </c>
      <c r="E55" s="11">
        <v>11.232566072608547</v>
      </c>
    </row>
    <row r="56" spans="1:5" x14ac:dyDescent="0.25">
      <c r="A56" t="s">
        <v>11</v>
      </c>
      <c r="B56" s="11">
        <v>79.904503375902195</v>
      </c>
      <c r="C56" s="11">
        <v>1.8232128790286841</v>
      </c>
      <c r="D56" s="11">
        <v>76.331006133005971</v>
      </c>
      <c r="E56" s="11">
        <v>83.478000618798418</v>
      </c>
    </row>
    <row r="57" spans="1:5" x14ac:dyDescent="0.25">
      <c r="A57" s="7" t="s">
        <v>103</v>
      </c>
      <c r="B57" s="11">
        <v>23.525841042743952</v>
      </c>
      <c r="C57" s="11">
        <v>1.8514723012222081</v>
      </c>
      <c r="D57" s="11">
        <v>19.896955332348426</v>
      </c>
      <c r="E57" s="11">
        <v>27.154726753139478</v>
      </c>
    </row>
    <row r="58" spans="1:5" x14ac:dyDescent="0.25">
      <c r="A58" s="7" t="s">
        <v>38</v>
      </c>
      <c r="B58" s="11">
        <v>28.930221216615262</v>
      </c>
      <c r="C58" s="11">
        <v>3.2902821511562377</v>
      </c>
      <c r="D58" s="11">
        <v>22.481268200349035</v>
      </c>
      <c r="E58" s="11">
        <v>35.379174232881489</v>
      </c>
    </row>
    <row r="59" spans="1:5" x14ac:dyDescent="0.25">
      <c r="A59" s="7" t="s">
        <v>104</v>
      </c>
      <c r="B59" s="11">
        <v>20.187060110920338</v>
      </c>
      <c r="C59" s="11">
        <v>2.9429531177629351</v>
      </c>
      <c r="D59" s="11">
        <v>14.418872000104987</v>
      </c>
      <c r="E59" s="11">
        <v>25.95524822173569</v>
      </c>
    </row>
    <row r="60" spans="1:5" x14ac:dyDescent="0.25">
      <c r="A60" s="9" t="s">
        <v>14</v>
      </c>
      <c r="B60" s="11">
        <v>3.3853548775410003</v>
      </c>
      <c r="C60" s="11">
        <v>1.6761292263338932</v>
      </c>
      <c r="D60" s="11">
        <v>0.10014159392656996</v>
      </c>
      <c r="E60" s="11">
        <v>6.6705681611554306</v>
      </c>
    </row>
    <row r="61" spans="1:5" x14ac:dyDescent="0.25">
      <c r="A61" s="9" t="s">
        <v>15</v>
      </c>
      <c r="B61" s="11">
        <v>16.805880638139779</v>
      </c>
      <c r="C61" s="11">
        <v>2.854449310743854</v>
      </c>
      <c r="D61" s="11">
        <v>11.211159989081825</v>
      </c>
      <c r="E61" s="11">
        <v>22.400601287197734</v>
      </c>
    </row>
    <row r="62" spans="1:5" x14ac:dyDescent="0.25">
      <c r="A62" s="7" t="s">
        <v>105</v>
      </c>
      <c r="B62" s="11">
        <v>7.2484598526237463</v>
      </c>
      <c r="C62" s="11">
        <v>0.96795888017169085</v>
      </c>
      <c r="D62" s="11">
        <v>5.3512604474872321</v>
      </c>
      <c r="E62" s="11">
        <v>9.1456592577602596</v>
      </c>
    </row>
    <row r="63" spans="1:5" x14ac:dyDescent="0.25">
      <c r="A63" s="9" t="s">
        <v>17</v>
      </c>
      <c r="B63" s="11">
        <v>6.845959444813551</v>
      </c>
      <c r="C63" s="11">
        <v>0.93406655208650913</v>
      </c>
      <c r="D63" s="11">
        <v>5.0151890027239929</v>
      </c>
      <c r="E63" s="11">
        <v>8.6767298869031091</v>
      </c>
    </row>
    <row r="64" spans="1:5" x14ac:dyDescent="0.25">
      <c r="A64" s="9" t="s">
        <v>18</v>
      </c>
      <c r="B64" s="11">
        <v>0.40643311559931966</v>
      </c>
      <c r="C64" s="11">
        <v>0.26256624676708251</v>
      </c>
      <c r="D64" s="11">
        <v>0</v>
      </c>
      <c r="E64" s="11">
        <v>0.92106295926280146</v>
      </c>
    </row>
    <row r="65" spans="1:5" x14ac:dyDescent="0.25">
      <c r="A65" t="s">
        <v>41</v>
      </c>
      <c r="B65" s="11">
        <v>52.452826951364223</v>
      </c>
      <c r="C65" s="11">
        <v>3.4163285963226886</v>
      </c>
      <c r="D65" s="11">
        <v>45.756822902571756</v>
      </c>
      <c r="E65" s="11">
        <v>59.14883100015669</v>
      </c>
    </row>
    <row r="66" spans="1:5" x14ac:dyDescent="0.25">
      <c r="A66" t="s">
        <v>106</v>
      </c>
      <c r="B66" s="11">
        <v>24.058129120067587</v>
      </c>
      <c r="C66" s="11">
        <v>2.9355726589293716</v>
      </c>
      <c r="D66" s="11">
        <v>18.30440670856602</v>
      </c>
      <c r="E66" s="11">
        <v>29.811851531569154</v>
      </c>
    </row>
    <row r="67" spans="1:5" x14ac:dyDescent="0.25">
      <c r="A67" t="s">
        <v>22</v>
      </c>
      <c r="B67" s="11">
        <v>56.37361722299908</v>
      </c>
      <c r="C67" s="11">
        <v>2.1284987271897533</v>
      </c>
      <c r="D67" s="11">
        <v>52.201759717707162</v>
      </c>
      <c r="E67" s="11">
        <v>60.545474728290998</v>
      </c>
    </row>
    <row r="68" spans="1:5" x14ac:dyDescent="0.25">
      <c r="A68" t="s">
        <v>42</v>
      </c>
      <c r="B68" s="11">
        <v>72.557245111570623</v>
      </c>
      <c r="C68" s="11">
        <v>2.9852897955364628</v>
      </c>
      <c r="D68" s="11">
        <v>66.70607711231915</v>
      </c>
      <c r="E68" s="11">
        <v>78.408413110822096</v>
      </c>
    </row>
    <row r="69" spans="1:5" x14ac:dyDescent="0.25">
      <c r="A69" t="s">
        <v>21</v>
      </c>
      <c r="B69" s="11">
        <v>27.442754888429377</v>
      </c>
      <c r="C69" s="11">
        <v>2.9850254849364322</v>
      </c>
      <c r="D69" s="11">
        <v>21.59210493795397</v>
      </c>
      <c r="E69" s="11">
        <v>33.293404838904785</v>
      </c>
    </row>
    <row r="70" spans="1:5" x14ac:dyDescent="0.25">
      <c r="B70" s="11"/>
      <c r="C70" s="11"/>
      <c r="D70" s="11"/>
      <c r="E70" s="11"/>
    </row>
  </sheetData>
  <mergeCells count="8">
    <mergeCell ref="AT2:AU2"/>
    <mergeCell ref="AZ2:BA2"/>
    <mergeCell ref="J2:K2"/>
    <mergeCell ref="P2:Q2"/>
    <mergeCell ref="V2:W2"/>
    <mergeCell ref="AB2:AC2"/>
    <mergeCell ref="AH2:AI2"/>
    <mergeCell ref="AN2:AO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EE216-F2DF-4DB4-9C38-71D49DC8DC36}">
  <dimension ref="A1:BM69"/>
  <sheetViews>
    <sheetView topLeftCell="AO1" workbookViewId="0">
      <selection activeCell="BG24" sqref="BG24"/>
    </sheetView>
  </sheetViews>
  <sheetFormatPr defaultRowHeight="15" x14ac:dyDescent="0.25"/>
  <cols>
    <col min="1" max="1" width="22.140625" customWidth="1"/>
  </cols>
  <sheetData>
    <row r="1" spans="1:65" x14ac:dyDescent="0.25">
      <c r="A1" s="5" t="s">
        <v>222</v>
      </c>
      <c r="G1" s="12" t="s">
        <v>224</v>
      </c>
      <c r="I1" s="12" t="s">
        <v>110</v>
      </c>
      <c r="M1" s="12" t="s">
        <v>225</v>
      </c>
      <c r="O1" s="12" t="s">
        <v>110</v>
      </c>
      <c r="S1" s="12" t="s">
        <v>226</v>
      </c>
      <c r="U1" s="12" t="s">
        <v>110</v>
      </c>
      <c r="Y1" s="12" t="s">
        <v>227</v>
      </c>
      <c r="AA1" s="12" t="s">
        <v>110</v>
      </c>
      <c r="AE1" s="12" t="s">
        <v>228</v>
      </c>
      <c r="AG1" s="12" t="s">
        <v>110</v>
      </c>
      <c r="AK1" s="12" t="s">
        <v>188</v>
      </c>
      <c r="AM1" s="12" t="s">
        <v>110</v>
      </c>
      <c r="AQ1" s="12" t="s">
        <v>229</v>
      </c>
      <c r="AS1" s="12" t="s">
        <v>230</v>
      </c>
      <c r="AW1" s="12" t="s">
        <v>231</v>
      </c>
      <c r="AY1" s="12" t="s">
        <v>110</v>
      </c>
      <c r="BC1" s="12" t="s">
        <v>232</v>
      </c>
      <c r="BE1" s="12" t="s">
        <v>110</v>
      </c>
      <c r="BI1" s="12" t="s">
        <v>233</v>
      </c>
      <c r="BK1" s="12" t="s">
        <v>234</v>
      </c>
    </row>
    <row r="2" spans="1:65" x14ac:dyDescent="0.25">
      <c r="A2" t="s">
        <v>64</v>
      </c>
      <c r="B2" s="7" t="s">
        <v>65</v>
      </c>
      <c r="C2" s="7" t="s">
        <v>34</v>
      </c>
      <c r="D2" s="14" t="s">
        <v>111</v>
      </c>
      <c r="E2" s="14"/>
      <c r="G2" t="s">
        <v>64</v>
      </c>
      <c r="H2" t="s">
        <v>65</v>
      </c>
      <c r="I2" t="s">
        <v>34</v>
      </c>
      <c r="J2" s="14" t="s">
        <v>111</v>
      </c>
      <c r="K2" s="14"/>
      <c r="M2" t="s">
        <v>64</v>
      </c>
      <c r="N2" t="s">
        <v>65</v>
      </c>
      <c r="O2" t="s">
        <v>34</v>
      </c>
      <c r="P2" s="14" t="s">
        <v>111</v>
      </c>
      <c r="Q2" s="14"/>
      <c r="S2" t="s">
        <v>64</v>
      </c>
      <c r="T2" s="7" t="s">
        <v>65</v>
      </c>
      <c r="U2" s="7" t="s">
        <v>34</v>
      </c>
      <c r="V2" s="14" t="s">
        <v>111</v>
      </c>
      <c r="W2" s="14"/>
      <c r="Y2" t="s">
        <v>64</v>
      </c>
      <c r="Z2" s="7" t="s">
        <v>65</v>
      </c>
      <c r="AA2" s="7" t="s">
        <v>34</v>
      </c>
      <c r="AB2" s="14" t="s">
        <v>111</v>
      </c>
      <c r="AC2" s="14"/>
      <c r="AE2" t="s">
        <v>64</v>
      </c>
      <c r="AF2" s="7" t="s">
        <v>65</v>
      </c>
      <c r="AG2" s="7" t="s">
        <v>34</v>
      </c>
      <c r="AH2" s="14" t="s">
        <v>111</v>
      </c>
      <c r="AI2" s="14"/>
      <c r="AK2" t="s">
        <v>64</v>
      </c>
      <c r="AL2" s="7" t="s">
        <v>65</v>
      </c>
      <c r="AM2" s="7" t="s">
        <v>34</v>
      </c>
      <c r="AN2" s="14" t="s">
        <v>111</v>
      </c>
      <c r="AO2" s="14"/>
      <c r="AQ2" t="s">
        <v>64</v>
      </c>
      <c r="AR2" s="7" t="s">
        <v>65</v>
      </c>
      <c r="AS2" s="7" t="s">
        <v>34</v>
      </c>
      <c r="AT2" s="14" t="s">
        <v>111</v>
      </c>
      <c r="AU2" s="14"/>
      <c r="AW2" t="s">
        <v>64</v>
      </c>
      <c r="AX2" s="7" t="s">
        <v>65</v>
      </c>
      <c r="AY2" s="7" t="s">
        <v>34</v>
      </c>
      <c r="AZ2" s="14" t="s">
        <v>111</v>
      </c>
      <c r="BA2" s="14"/>
      <c r="BC2" t="s">
        <v>64</v>
      </c>
      <c r="BD2" s="7" t="s">
        <v>65</v>
      </c>
      <c r="BE2" s="7" t="s">
        <v>34</v>
      </c>
      <c r="BF2" s="14" t="s">
        <v>111</v>
      </c>
      <c r="BG2" s="14"/>
      <c r="BI2" t="s">
        <v>64</v>
      </c>
      <c r="BJ2" s="7" t="s">
        <v>65</v>
      </c>
      <c r="BK2" s="7" t="s">
        <v>34</v>
      </c>
      <c r="BL2" s="14" t="s">
        <v>111</v>
      </c>
      <c r="BM2" s="14"/>
    </row>
    <row r="3" spans="1:65" x14ac:dyDescent="0.25">
      <c r="A3" s="20" t="s">
        <v>9</v>
      </c>
      <c r="B3" s="8">
        <v>66.370236329531338</v>
      </c>
      <c r="C3" s="8">
        <v>0.57517284242852884</v>
      </c>
      <c r="D3" s="8">
        <v>65.242897558371425</v>
      </c>
      <c r="E3" s="8">
        <v>67.49757510069125</v>
      </c>
      <c r="G3" s="20" t="s">
        <v>9</v>
      </c>
      <c r="H3" s="11">
        <v>99.484999999999999</v>
      </c>
      <c r="I3" s="11">
        <v>0.70299999999999996</v>
      </c>
      <c r="J3" s="11">
        <v>97.4</v>
      </c>
      <c r="K3" s="11">
        <v>100</v>
      </c>
      <c r="M3" s="20" t="s">
        <v>9</v>
      </c>
      <c r="N3" s="11">
        <v>99.558000000000007</v>
      </c>
      <c r="O3" s="11">
        <v>0.59699999999999998</v>
      </c>
      <c r="P3" s="11">
        <v>97.8</v>
      </c>
      <c r="Q3" s="11">
        <v>100</v>
      </c>
      <c r="S3" s="20" t="s">
        <v>9</v>
      </c>
      <c r="T3" s="8">
        <v>96.454999999999998</v>
      </c>
      <c r="U3" s="8">
        <v>1.871</v>
      </c>
      <c r="V3" s="8">
        <v>92.1</v>
      </c>
      <c r="W3" s="8">
        <v>99.4</v>
      </c>
      <c r="Y3" s="20" t="s">
        <v>9</v>
      </c>
      <c r="Z3" s="11">
        <v>98.638999999999996</v>
      </c>
      <c r="AA3" s="11">
        <v>1.492</v>
      </c>
      <c r="AB3" s="11">
        <v>94.7</v>
      </c>
      <c r="AC3" s="11">
        <v>100</v>
      </c>
      <c r="AE3" s="20" t="s">
        <v>9</v>
      </c>
      <c r="AF3" s="11">
        <v>62</v>
      </c>
      <c r="AG3" s="11">
        <v>4</v>
      </c>
      <c r="AH3" s="11">
        <v>53.7</v>
      </c>
      <c r="AI3" s="11">
        <v>69.5</v>
      </c>
      <c r="AK3" s="20" t="s">
        <v>9</v>
      </c>
      <c r="AL3" s="11">
        <v>26.553999999999998</v>
      </c>
      <c r="AM3" s="11">
        <v>4.718</v>
      </c>
      <c r="AN3" s="11">
        <v>17.7</v>
      </c>
      <c r="AO3" s="11">
        <v>36.200000000000003</v>
      </c>
      <c r="AQ3" s="20" t="s">
        <v>9</v>
      </c>
      <c r="AR3" s="11">
        <v>13.888999999999999</v>
      </c>
      <c r="AS3" s="11">
        <v>2.8980000000000001</v>
      </c>
      <c r="AT3" s="11">
        <v>8.6</v>
      </c>
      <c r="AU3" s="11">
        <v>20</v>
      </c>
      <c r="AW3" s="20" t="s">
        <v>9</v>
      </c>
      <c r="AX3" s="11">
        <v>1.1919999999999999</v>
      </c>
      <c r="AY3" s="11">
        <v>1.359</v>
      </c>
      <c r="AZ3" s="11">
        <v>0</v>
      </c>
      <c r="BA3" s="11">
        <v>4.9000000000000004</v>
      </c>
      <c r="BC3" s="20" t="s">
        <v>9</v>
      </c>
      <c r="BD3" s="11">
        <v>2.8879999999999999</v>
      </c>
      <c r="BE3" s="11">
        <v>1.24</v>
      </c>
      <c r="BF3" s="11">
        <v>1</v>
      </c>
      <c r="BG3" s="11">
        <v>5.7</v>
      </c>
      <c r="BI3" s="20" t="s">
        <v>9</v>
      </c>
      <c r="BJ3" s="11">
        <v>3.9830000000000001</v>
      </c>
      <c r="BK3" s="11">
        <v>1.6080000000000001</v>
      </c>
      <c r="BL3" s="11">
        <v>1.5</v>
      </c>
      <c r="BM3" s="11">
        <v>7.8</v>
      </c>
    </row>
    <row r="4" spans="1:65" x14ac:dyDescent="0.25">
      <c r="A4" s="21" t="s">
        <v>10</v>
      </c>
      <c r="B4" s="8">
        <v>51.149558338064246</v>
      </c>
      <c r="C4" s="8">
        <v>2.2139103937118776</v>
      </c>
      <c r="D4" s="8">
        <v>46.810293966388969</v>
      </c>
      <c r="E4" s="8">
        <v>55.488822709739523</v>
      </c>
      <c r="G4" s="21" t="s">
        <v>10</v>
      </c>
      <c r="H4" s="11">
        <v>72.632000000000005</v>
      </c>
      <c r="I4" s="11">
        <v>6.8109999999999999</v>
      </c>
      <c r="J4" s="11">
        <v>58.4</v>
      </c>
      <c r="K4" s="11">
        <v>84.8</v>
      </c>
      <c r="M4" s="21" t="s">
        <v>10</v>
      </c>
      <c r="N4" s="11">
        <v>90.733999999999995</v>
      </c>
      <c r="O4" s="11">
        <v>5.5369999999999999</v>
      </c>
      <c r="P4" s="11">
        <v>76.8</v>
      </c>
      <c r="Q4" s="11">
        <v>97.5</v>
      </c>
      <c r="S4" s="21" t="s">
        <v>10</v>
      </c>
      <c r="T4" s="8">
        <v>69.147000000000006</v>
      </c>
      <c r="U4" s="8">
        <v>6.702</v>
      </c>
      <c r="V4" s="8">
        <v>55.2</v>
      </c>
      <c r="W4" s="8">
        <v>80.099999999999994</v>
      </c>
      <c r="Y4" s="21" t="s">
        <v>10</v>
      </c>
      <c r="Z4" s="11">
        <v>70.733999999999995</v>
      </c>
      <c r="AA4" s="11">
        <v>6.63</v>
      </c>
      <c r="AB4" s="11">
        <v>57</v>
      </c>
      <c r="AC4" s="11">
        <v>82.7</v>
      </c>
      <c r="AE4" s="21" t="s">
        <v>10</v>
      </c>
      <c r="AF4" s="11">
        <v>24.8</v>
      </c>
      <c r="AG4" s="11">
        <v>5.5</v>
      </c>
      <c r="AH4" s="11">
        <v>14.7</v>
      </c>
      <c r="AI4" s="11">
        <v>36.1</v>
      </c>
      <c r="AK4" s="21" t="s">
        <v>10</v>
      </c>
      <c r="AL4" s="11">
        <v>11.250999999999999</v>
      </c>
      <c r="AM4" s="11">
        <v>2.5150000000000001</v>
      </c>
      <c r="AN4" s="11">
        <v>6.5</v>
      </c>
      <c r="AO4" s="11">
        <v>16.5</v>
      </c>
      <c r="AQ4" s="21" t="s">
        <v>10</v>
      </c>
      <c r="AR4" s="11">
        <v>10.946999999999999</v>
      </c>
      <c r="AS4" s="11">
        <v>2.6970000000000001</v>
      </c>
      <c r="AT4" s="11">
        <v>5.8</v>
      </c>
      <c r="AU4" s="11">
        <v>16.399999999999999</v>
      </c>
      <c r="AW4" s="21" t="s">
        <v>10</v>
      </c>
      <c r="AX4" s="11">
        <v>0.30299999999999999</v>
      </c>
      <c r="AY4" s="11">
        <v>0.503</v>
      </c>
      <c r="AZ4" s="11">
        <v>0</v>
      </c>
      <c r="BA4" s="11">
        <v>1.8</v>
      </c>
      <c r="BC4" s="21" t="s">
        <v>10</v>
      </c>
      <c r="BD4" s="11">
        <v>2.5150000000000001</v>
      </c>
      <c r="BE4" s="11">
        <v>1.089</v>
      </c>
      <c r="BF4" s="11">
        <v>0.8</v>
      </c>
      <c r="BG4" s="11">
        <v>5</v>
      </c>
      <c r="BI4" s="21" t="s">
        <v>10</v>
      </c>
      <c r="BJ4" s="11">
        <v>3.3479999999999999</v>
      </c>
      <c r="BK4" s="11">
        <v>1.3120000000000001</v>
      </c>
      <c r="BL4" s="11">
        <v>1.2</v>
      </c>
      <c r="BM4" s="11">
        <v>6.202</v>
      </c>
    </row>
    <row r="5" spans="1:65" x14ac:dyDescent="0.25">
      <c r="A5" s="21" t="s">
        <v>101</v>
      </c>
      <c r="B5" s="8">
        <v>15.202088329056052</v>
      </c>
      <c r="C5" s="8">
        <v>2.2577142333207911</v>
      </c>
      <c r="D5" s="8">
        <v>10.776968431747301</v>
      </c>
      <c r="E5" s="8">
        <v>19.6272082263648</v>
      </c>
      <c r="G5" s="21" t="s">
        <v>101</v>
      </c>
      <c r="H5" s="11">
        <v>26.814</v>
      </c>
      <c r="I5" s="11">
        <v>6.8170000000000002</v>
      </c>
      <c r="J5" s="11">
        <v>14.6</v>
      </c>
      <c r="K5" s="11">
        <v>41.1</v>
      </c>
      <c r="M5" s="21" t="s">
        <v>101</v>
      </c>
      <c r="N5" s="11">
        <v>8.7680000000000007</v>
      </c>
      <c r="O5" s="11">
        <v>5.5270000000000001</v>
      </c>
      <c r="P5" s="11">
        <v>2.1</v>
      </c>
      <c r="Q5" s="11">
        <v>22.8</v>
      </c>
      <c r="S5" s="21" t="s">
        <v>101</v>
      </c>
      <c r="T5" s="8">
        <v>27.286000000000001</v>
      </c>
      <c r="U5" s="8">
        <v>6.875</v>
      </c>
      <c r="V5" s="8">
        <v>16</v>
      </c>
      <c r="W5" s="8">
        <v>41.7</v>
      </c>
      <c r="Y5" s="21" t="s">
        <v>101</v>
      </c>
      <c r="Z5" s="11">
        <v>27.87</v>
      </c>
      <c r="AA5" s="11">
        <v>6.6340000000000003</v>
      </c>
      <c r="AB5" s="11">
        <v>16</v>
      </c>
      <c r="AC5" s="11">
        <v>41.6</v>
      </c>
      <c r="AE5" s="21" t="s">
        <v>101</v>
      </c>
      <c r="AF5" s="11">
        <v>37.299999999999997</v>
      </c>
      <c r="AG5" s="11">
        <v>6.4</v>
      </c>
      <c r="AH5" s="11">
        <v>24.5</v>
      </c>
      <c r="AI5" s="11">
        <v>49.1</v>
      </c>
      <c r="AK5" s="21" t="s">
        <v>101</v>
      </c>
      <c r="AL5" s="11">
        <v>15.298</v>
      </c>
      <c r="AM5" s="11">
        <v>4.59</v>
      </c>
      <c r="AN5" s="11">
        <v>7</v>
      </c>
      <c r="AO5" s="11">
        <v>24.8</v>
      </c>
      <c r="AQ5" s="21" t="s">
        <v>101</v>
      </c>
      <c r="AR5" s="11">
        <v>2.94</v>
      </c>
      <c r="AS5" s="11">
        <v>2.649</v>
      </c>
      <c r="AT5" s="11">
        <v>0</v>
      </c>
      <c r="AU5" s="11">
        <v>9.1</v>
      </c>
      <c r="AW5" s="21" t="s">
        <v>101</v>
      </c>
      <c r="AX5" s="11">
        <v>0.9</v>
      </c>
      <c r="AY5" s="11">
        <v>1.2789999999999999</v>
      </c>
      <c r="AZ5" s="11">
        <v>0</v>
      </c>
      <c r="BA5" s="11">
        <v>4.5999999999999996</v>
      </c>
      <c r="BC5" s="21" t="s">
        <v>101</v>
      </c>
      <c r="BD5" s="11">
        <v>0.38</v>
      </c>
      <c r="BE5" s="11">
        <v>0.65300000000000002</v>
      </c>
      <c r="BF5" s="11">
        <v>0</v>
      </c>
      <c r="BG5" s="11">
        <v>2.4</v>
      </c>
      <c r="BI5" s="21" t="s">
        <v>101</v>
      </c>
      <c r="BJ5" s="11">
        <v>0.63800000000000001</v>
      </c>
      <c r="BK5" s="11">
        <v>1.0680000000000001</v>
      </c>
      <c r="BL5" s="11">
        <v>0</v>
      </c>
      <c r="BM5" s="11">
        <v>3.9</v>
      </c>
    </row>
    <row r="6" spans="1:65" x14ac:dyDescent="0.25">
      <c r="A6" s="22" t="s">
        <v>126</v>
      </c>
      <c r="B6" s="8">
        <v>10.982516259334449</v>
      </c>
      <c r="C6" s="8">
        <v>2.4513867357485624</v>
      </c>
      <c r="D6" s="8">
        <v>6.1777982572672672</v>
      </c>
      <c r="E6" s="8">
        <v>15.787234261401633</v>
      </c>
      <c r="G6" s="22" t="s">
        <v>126</v>
      </c>
      <c r="H6" s="11">
        <v>22.626999999999999</v>
      </c>
      <c r="I6" s="11">
        <v>7.65</v>
      </c>
      <c r="J6" s="11">
        <v>8.9</v>
      </c>
      <c r="K6" s="11">
        <v>38.802</v>
      </c>
      <c r="M6" s="22" t="s">
        <v>126</v>
      </c>
      <c r="N6" s="11">
        <v>5.0640000000000001</v>
      </c>
      <c r="O6" s="11">
        <v>5.8410000000000002</v>
      </c>
      <c r="P6" s="11">
        <v>0</v>
      </c>
      <c r="Q6" s="11">
        <v>19.8</v>
      </c>
      <c r="S6" s="22" t="s">
        <v>126</v>
      </c>
      <c r="T6" s="8">
        <v>22.047999999999998</v>
      </c>
      <c r="U6" s="8">
        <v>7.54</v>
      </c>
      <c r="V6" s="8">
        <v>9.6</v>
      </c>
      <c r="W6" s="8">
        <v>37.701999999999998</v>
      </c>
      <c r="Y6" s="22" t="s">
        <v>126</v>
      </c>
      <c r="Z6" s="11">
        <v>18.388000000000002</v>
      </c>
      <c r="AA6" s="11">
        <v>6.9569999999999999</v>
      </c>
      <c r="AB6" s="11">
        <v>5.8</v>
      </c>
      <c r="AC6" s="11">
        <v>33</v>
      </c>
      <c r="AE6" s="22" t="s">
        <v>126</v>
      </c>
      <c r="AF6" s="11">
        <v>16.2</v>
      </c>
      <c r="AG6" s="11">
        <v>7.1</v>
      </c>
      <c r="AH6" s="11">
        <v>0.2</v>
      </c>
      <c r="AI6" s="11">
        <v>29.3</v>
      </c>
      <c r="AK6" s="22" t="s">
        <v>126</v>
      </c>
      <c r="AL6" s="11">
        <v>5.9210000000000003</v>
      </c>
      <c r="AM6" s="11">
        <v>4.1289999999999996</v>
      </c>
      <c r="AN6" s="11">
        <v>0</v>
      </c>
      <c r="AO6" s="11">
        <v>14.8</v>
      </c>
      <c r="AQ6" s="22" t="s">
        <v>126</v>
      </c>
      <c r="AR6" s="11">
        <v>2.6259999999999999</v>
      </c>
      <c r="AS6" s="11">
        <v>2.6339999999999999</v>
      </c>
      <c r="AT6" s="11">
        <v>0</v>
      </c>
      <c r="AU6" s="11">
        <v>8.9</v>
      </c>
      <c r="AW6" s="22" t="s">
        <v>126</v>
      </c>
      <c r="AX6" s="11">
        <v>0.64800000000000002</v>
      </c>
      <c r="AY6" s="11">
        <v>1.1060000000000001</v>
      </c>
      <c r="AZ6" s="11">
        <v>0</v>
      </c>
      <c r="BA6" s="11">
        <v>3.9</v>
      </c>
      <c r="BC6" s="22" t="s">
        <v>126</v>
      </c>
      <c r="BD6" s="11">
        <v>0.316</v>
      </c>
      <c r="BE6" s="11">
        <v>0.60599999999999998</v>
      </c>
      <c r="BF6" s="11">
        <v>0</v>
      </c>
      <c r="BG6" s="11">
        <v>2.1</v>
      </c>
      <c r="BI6" s="22" t="s">
        <v>126</v>
      </c>
      <c r="BJ6" s="11">
        <v>0.44900000000000001</v>
      </c>
      <c r="BK6" s="11">
        <v>0.91700000000000004</v>
      </c>
      <c r="BL6" s="11">
        <v>0</v>
      </c>
      <c r="BM6" s="11">
        <v>3.3</v>
      </c>
    </row>
    <row r="7" spans="1:65" x14ac:dyDescent="0.25">
      <c r="A7" s="22" t="s">
        <v>103</v>
      </c>
      <c r="B7" s="8">
        <v>4.2142557033450156</v>
      </c>
      <c r="C7" s="8">
        <v>0.92256501652103984</v>
      </c>
      <c r="D7" s="8">
        <v>2.4060282709637777</v>
      </c>
      <c r="E7" s="8">
        <v>6.0224831357262536</v>
      </c>
      <c r="G7" s="22" t="s">
        <v>103</v>
      </c>
      <c r="H7" s="11">
        <v>4.1660000000000004</v>
      </c>
      <c r="I7" s="11">
        <v>2.7480000000000002</v>
      </c>
      <c r="J7" s="11">
        <v>0</v>
      </c>
      <c r="K7" s="11">
        <v>9.9</v>
      </c>
      <c r="M7" s="22" t="s">
        <v>103</v>
      </c>
      <c r="N7" s="11">
        <v>3.6989999999999998</v>
      </c>
      <c r="O7" s="11">
        <v>2.129</v>
      </c>
      <c r="P7" s="11">
        <v>0</v>
      </c>
      <c r="Q7" s="11">
        <v>8</v>
      </c>
      <c r="S7" s="22" t="s">
        <v>103</v>
      </c>
      <c r="T7" s="8">
        <v>5.2240000000000002</v>
      </c>
      <c r="U7" s="8">
        <v>2.8079999999999998</v>
      </c>
      <c r="V7" s="8">
        <v>0</v>
      </c>
      <c r="W7" s="8">
        <v>11</v>
      </c>
      <c r="Y7" s="22" t="s">
        <v>103</v>
      </c>
      <c r="Z7" s="11">
        <v>9.4629999999999992</v>
      </c>
      <c r="AA7" s="11">
        <v>2.9889999999999999</v>
      </c>
      <c r="AB7" s="11">
        <v>4</v>
      </c>
      <c r="AC7" s="11">
        <v>15.6</v>
      </c>
      <c r="AE7" s="22" t="s">
        <v>103</v>
      </c>
      <c r="AF7" s="11">
        <v>21.1</v>
      </c>
      <c r="AG7" s="11">
        <v>4</v>
      </c>
      <c r="AH7" s="11">
        <v>13.5</v>
      </c>
      <c r="AI7" s="11">
        <v>29.3</v>
      </c>
      <c r="AK7" s="22" t="s">
        <v>103</v>
      </c>
      <c r="AL7" s="11">
        <v>9.3770000000000007</v>
      </c>
      <c r="AM7" s="11">
        <v>3.1779999999999999</v>
      </c>
      <c r="AN7" s="11">
        <v>3.6</v>
      </c>
      <c r="AO7" s="11">
        <v>16</v>
      </c>
      <c r="AQ7" s="22" t="s">
        <v>103</v>
      </c>
      <c r="AR7" s="11">
        <v>0.32300000000000001</v>
      </c>
      <c r="AS7" s="11">
        <v>0.85599999999999998</v>
      </c>
      <c r="AT7" s="11">
        <v>0</v>
      </c>
      <c r="AU7" s="11">
        <v>3.1</v>
      </c>
      <c r="AW7" s="22" t="s">
        <v>103</v>
      </c>
      <c r="AX7" s="11">
        <v>0.26100000000000001</v>
      </c>
      <c r="AY7" s="11">
        <v>0.67</v>
      </c>
      <c r="AZ7" s="11">
        <v>0</v>
      </c>
      <c r="BA7" s="11">
        <v>2.2999999999999998</v>
      </c>
      <c r="BC7" s="22" t="s">
        <v>103</v>
      </c>
      <c r="BD7" s="11">
        <v>7.4999999999999997E-2</v>
      </c>
      <c r="BE7" s="11">
        <v>0.248</v>
      </c>
      <c r="BF7" s="11">
        <v>0</v>
      </c>
      <c r="BG7" s="11">
        <v>0.8</v>
      </c>
      <c r="BI7" s="22" t="s">
        <v>103</v>
      </c>
      <c r="BJ7" s="11">
        <v>0.20100000000000001</v>
      </c>
      <c r="BK7" s="11">
        <v>0.60199999999999998</v>
      </c>
      <c r="BL7" s="11">
        <v>0</v>
      </c>
      <c r="BM7" s="11">
        <v>2.2000000000000002</v>
      </c>
    </row>
    <row r="8" spans="1:65" x14ac:dyDescent="0.25">
      <c r="A8" s="20" t="s">
        <v>11</v>
      </c>
      <c r="B8" s="8">
        <v>33.629763670468662</v>
      </c>
      <c r="C8" s="8">
        <v>0.57519283179299185</v>
      </c>
      <c r="D8" s="8">
        <v>32.5023857201544</v>
      </c>
      <c r="E8" s="8">
        <v>34.757141620782924</v>
      </c>
      <c r="G8" s="20" t="s">
        <v>11</v>
      </c>
      <c r="H8" s="11">
        <v>0.51500000000000001</v>
      </c>
      <c r="I8" s="11">
        <v>0.70199999999999996</v>
      </c>
      <c r="J8" s="11">
        <v>0</v>
      </c>
      <c r="K8" s="11">
        <v>2.5019999999999998</v>
      </c>
      <c r="M8" s="20" t="s">
        <v>11</v>
      </c>
      <c r="N8" s="11">
        <v>0.442</v>
      </c>
      <c r="O8" s="11">
        <v>0.59799999999999998</v>
      </c>
      <c r="P8" s="11">
        <v>0</v>
      </c>
      <c r="Q8" s="11">
        <v>2.2000000000000002</v>
      </c>
      <c r="S8" s="20" t="s">
        <v>11</v>
      </c>
      <c r="T8" s="8">
        <v>3.5449999999999999</v>
      </c>
      <c r="U8" s="8">
        <v>1.871</v>
      </c>
      <c r="V8" s="8">
        <v>0.6</v>
      </c>
      <c r="W8" s="8">
        <v>7.8</v>
      </c>
      <c r="Y8" s="20" t="s">
        <v>11</v>
      </c>
      <c r="Z8" s="11">
        <v>1.361</v>
      </c>
      <c r="AA8" s="11">
        <v>1.4910000000000001</v>
      </c>
      <c r="AB8" s="11">
        <v>0</v>
      </c>
      <c r="AC8" s="11">
        <v>5.3</v>
      </c>
      <c r="AE8" s="20" t="s">
        <v>11</v>
      </c>
      <c r="AF8" s="11">
        <v>38</v>
      </c>
      <c r="AG8" s="11">
        <v>4</v>
      </c>
      <c r="AH8" s="11">
        <v>30.4</v>
      </c>
      <c r="AI8" s="11">
        <v>46.3</v>
      </c>
      <c r="AK8" s="20" t="s">
        <v>11</v>
      </c>
      <c r="AL8" s="11">
        <v>73.445999999999998</v>
      </c>
      <c r="AM8" s="11">
        <v>4.718</v>
      </c>
      <c r="AN8" s="11">
        <v>63.8</v>
      </c>
      <c r="AO8" s="11">
        <v>82.3</v>
      </c>
      <c r="AQ8" s="20" t="s">
        <v>11</v>
      </c>
      <c r="AR8" s="11">
        <v>86.111000000000004</v>
      </c>
      <c r="AS8" s="11">
        <v>2.8980000000000001</v>
      </c>
      <c r="AT8" s="11">
        <v>80</v>
      </c>
      <c r="AU8" s="11">
        <v>91.4</v>
      </c>
      <c r="AW8" s="20" t="s">
        <v>11</v>
      </c>
      <c r="AX8" s="11">
        <v>98.808000000000007</v>
      </c>
      <c r="AY8" s="11">
        <v>1.359</v>
      </c>
      <c r="AZ8" s="11">
        <v>95.1</v>
      </c>
      <c r="BA8" s="11">
        <v>100</v>
      </c>
      <c r="BC8" s="20" t="s">
        <v>11</v>
      </c>
      <c r="BD8" s="11">
        <v>97.111999999999995</v>
      </c>
      <c r="BE8" s="11">
        <v>1.24</v>
      </c>
      <c r="BF8" s="11">
        <v>94.298000000000002</v>
      </c>
      <c r="BG8" s="11">
        <v>99</v>
      </c>
      <c r="BI8" s="20" t="s">
        <v>11</v>
      </c>
      <c r="BJ8" s="11">
        <v>96.016999999999996</v>
      </c>
      <c r="BK8" s="11">
        <v>1.6080000000000001</v>
      </c>
      <c r="BL8" s="11">
        <v>92.2</v>
      </c>
      <c r="BM8" s="11">
        <v>98.5</v>
      </c>
    </row>
    <row r="9" spans="1:65" x14ac:dyDescent="0.25">
      <c r="A9" s="21" t="s">
        <v>103</v>
      </c>
      <c r="B9" s="8">
        <v>12.197909761450411</v>
      </c>
      <c r="C9" s="8">
        <v>0.8959970824133463</v>
      </c>
      <c r="D9" s="8">
        <v>10.441755479920253</v>
      </c>
      <c r="E9" s="8">
        <v>13.954064042980569</v>
      </c>
      <c r="G9" s="21" t="s">
        <v>103</v>
      </c>
      <c r="H9" s="11">
        <v>0.218</v>
      </c>
      <c r="I9" s="11">
        <v>0.48699999999999999</v>
      </c>
      <c r="J9" s="11">
        <v>0</v>
      </c>
      <c r="K9" s="11">
        <v>1.7</v>
      </c>
      <c r="M9" s="21" t="s">
        <v>103</v>
      </c>
      <c r="N9" s="11">
        <v>0.13100000000000001</v>
      </c>
      <c r="O9" s="11">
        <v>0.29599999999999999</v>
      </c>
      <c r="P9" s="11">
        <v>0</v>
      </c>
      <c r="Q9" s="11">
        <v>1</v>
      </c>
      <c r="S9" s="21" t="s">
        <v>103</v>
      </c>
      <c r="T9" s="8">
        <v>0.315</v>
      </c>
      <c r="U9" s="8">
        <v>0.57999999999999996</v>
      </c>
      <c r="V9" s="8">
        <v>0</v>
      </c>
      <c r="W9" s="8">
        <v>2.1</v>
      </c>
      <c r="Y9" s="21" t="s">
        <v>103</v>
      </c>
      <c r="Z9" s="11">
        <v>0.14399999999999999</v>
      </c>
      <c r="AA9" s="11">
        <v>0.33</v>
      </c>
      <c r="AB9" s="11">
        <v>0</v>
      </c>
      <c r="AC9" s="11">
        <v>1.1000000000000001</v>
      </c>
      <c r="AE9" s="21" t="s">
        <v>103</v>
      </c>
      <c r="AF9" s="11">
        <v>0.9</v>
      </c>
      <c r="AG9" s="11">
        <v>1.5</v>
      </c>
      <c r="AH9" s="11">
        <v>0</v>
      </c>
      <c r="AI9" s="11">
        <v>5.3</v>
      </c>
      <c r="AK9" s="21" t="s">
        <v>103</v>
      </c>
      <c r="AL9" s="11">
        <v>9.3689999999999998</v>
      </c>
      <c r="AM9" s="11">
        <v>3.387</v>
      </c>
      <c r="AN9" s="11">
        <v>3.4</v>
      </c>
      <c r="AO9" s="11">
        <v>16.5</v>
      </c>
      <c r="AQ9" s="21" t="s">
        <v>103</v>
      </c>
      <c r="AR9" s="11">
        <v>15.3</v>
      </c>
      <c r="AS9" s="11">
        <v>3.5379999999999998</v>
      </c>
      <c r="AT9" s="11">
        <v>8.8000000000000007</v>
      </c>
      <c r="AU9" s="11">
        <v>22.7</v>
      </c>
      <c r="AW9" s="21" t="s">
        <v>103</v>
      </c>
      <c r="AX9" s="11">
        <v>36.036000000000001</v>
      </c>
      <c r="AY9" s="11">
        <v>3.9510000000000001</v>
      </c>
      <c r="AZ9" s="11">
        <v>28.5</v>
      </c>
      <c r="BA9" s="11">
        <v>43.9</v>
      </c>
      <c r="BC9" s="21" t="s">
        <v>103</v>
      </c>
      <c r="BD9" s="11">
        <v>63.85</v>
      </c>
      <c r="BE9" s="11">
        <v>3.6070000000000002</v>
      </c>
      <c r="BF9" s="11">
        <v>56.7</v>
      </c>
      <c r="BG9" s="11">
        <v>70.8</v>
      </c>
      <c r="BI9" s="21" t="s">
        <v>103</v>
      </c>
      <c r="BJ9" s="11">
        <v>73.174000000000007</v>
      </c>
      <c r="BK9" s="11">
        <v>3.5009999999999999</v>
      </c>
      <c r="BL9" s="11">
        <v>66.099999999999994</v>
      </c>
      <c r="BM9" s="11">
        <v>79.701999999999998</v>
      </c>
    </row>
    <row r="10" spans="1:65" x14ac:dyDescent="0.25">
      <c r="A10" s="21" t="s">
        <v>38</v>
      </c>
      <c r="B10" s="8">
        <v>12.792155968716072</v>
      </c>
      <c r="C10" s="8">
        <v>1.2302158818619651</v>
      </c>
      <c r="D10" s="8">
        <v>10.38093284026662</v>
      </c>
      <c r="E10" s="8">
        <v>15.203379097165524</v>
      </c>
      <c r="G10" s="21" t="s">
        <v>38</v>
      </c>
      <c r="H10" s="11">
        <v>0.13700000000000001</v>
      </c>
      <c r="I10" s="11">
        <v>0.36799999999999999</v>
      </c>
      <c r="J10" s="11">
        <v>0</v>
      </c>
      <c r="K10" s="11">
        <v>1.2</v>
      </c>
      <c r="M10" s="21" t="s">
        <v>38</v>
      </c>
      <c r="N10" s="11">
        <v>0.152</v>
      </c>
      <c r="O10" s="11">
        <v>0.371</v>
      </c>
      <c r="P10" s="11">
        <v>0</v>
      </c>
      <c r="Q10" s="11">
        <v>1.3</v>
      </c>
      <c r="S10" s="21" t="s">
        <v>38</v>
      </c>
      <c r="T10" s="8">
        <v>2.073</v>
      </c>
      <c r="U10" s="8">
        <v>1.954</v>
      </c>
      <c r="V10" s="8">
        <v>0</v>
      </c>
      <c r="W10" s="8">
        <v>6.5</v>
      </c>
      <c r="Y10" s="21" t="s">
        <v>38</v>
      </c>
      <c r="Z10" s="11">
        <v>0.625</v>
      </c>
      <c r="AA10" s="11">
        <v>1.173</v>
      </c>
      <c r="AB10" s="11">
        <v>0</v>
      </c>
      <c r="AC10" s="11">
        <v>4.2</v>
      </c>
      <c r="AE10" s="21" t="s">
        <v>38</v>
      </c>
      <c r="AF10" s="11">
        <v>25.2</v>
      </c>
      <c r="AG10" s="11">
        <v>4.5999999999999996</v>
      </c>
      <c r="AH10" s="11">
        <v>16.5</v>
      </c>
      <c r="AI10" s="11">
        <v>34.799999999999997</v>
      </c>
      <c r="AK10" s="21" t="s">
        <v>38</v>
      </c>
      <c r="AL10" s="11">
        <v>41.094000000000001</v>
      </c>
      <c r="AM10" s="11">
        <v>6.4320000000000004</v>
      </c>
      <c r="AN10" s="11">
        <v>28.4</v>
      </c>
      <c r="AO10" s="11">
        <v>53.3</v>
      </c>
      <c r="AQ10" s="21" t="s">
        <v>38</v>
      </c>
      <c r="AR10" s="11">
        <v>38.326000000000001</v>
      </c>
      <c r="AS10" s="11">
        <v>6.1630000000000003</v>
      </c>
      <c r="AT10" s="11">
        <v>26.5</v>
      </c>
      <c r="AU10" s="11">
        <v>50.6</v>
      </c>
      <c r="AW10" s="21" t="s">
        <v>38</v>
      </c>
      <c r="AX10" s="11">
        <v>36.951999999999998</v>
      </c>
      <c r="AY10" s="11">
        <v>5.0919999999999996</v>
      </c>
      <c r="AZ10" s="11">
        <v>27.1</v>
      </c>
      <c r="BA10" s="11">
        <v>47</v>
      </c>
      <c r="BC10" s="21" t="s">
        <v>38</v>
      </c>
      <c r="BD10" s="11">
        <v>17.024999999999999</v>
      </c>
      <c r="BE10" s="11">
        <v>3.5110000000000001</v>
      </c>
      <c r="BF10" s="11">
        <v>10.4</v>
      </c>
      <c r="BG10" s="11">
        <v>24.3</v>
      </c>
      <c r="BI10" s="21" t="s">
        <v>38</v>
      </c>
      <c r="BJ10" s="11">
        <v>13.516</v>
      </c>
      <c r="BK10" s="11">
        <v>3.294</v>
      </c>
      <c r="BL10" s="11">
        <v>7.3979999999999997</v>
      </c>
      <c r="BM10" s="11">
        <v>20.399999999999999</v>
      </c>
    </row>
    <row r="11" spans="1:65" x14ac:dyDescent="0.25">
      <c r="A11" s="21" t="s">
        <v>104</v>
      </c>
      <c r="B11" s="8">
        <v>3.910472316812216</v>
      </c>
      <c r="C11" s="8">
        <v>1.0520060642856073</v>
      </c>
      <c r="D11" s="8">
        <v>1.8485404308124256</v>
      </c>
      <c r="E11" s="8">
        <v>5.9724042028120063</v>
      </c>
      <c r="G11" s="21" t="s">
        <v>104</v>
      </c>
      <c r="H11" s="11">
        <v>0.14000000000000001</v>
      </c>
      <c r="I11" s="11">
        <v>0.33</v>
      </c>
      <c r="J11" s="11">
        <v>0</v>
      </c>
      <c r="K11" s="11">
        <v>1.1000000000000001</v>
      </c>
      <c r="M11" s="21" t="s">
        <v>104</v>
      </c>
      <c r="N11" s="11">
        <v>0.156</v>
      </c>
      <c r="O11" s="11">
        <v>0.34200000000000003</v>
      </c>
      <c r="P11" s="11">
        <v>0</v>
      </c>
      <c r="Q11" s="11">
        <v>1.2</v>
      </c>
      <c r="S11" s="21" t="s">
        <v>104</v>
      </c>
      <c r="T11" s="8">
        <v>1.085</v>
      </c>
      <c r="U11" s="8">
        <v>1.2869999999999999</v>
      </c>
      <c r="V11" s="8">
        <v>0</v>
      </c>
      <c r="W11" s="8">
        <v>4.4000000000000004</v>
      </c>
      <c r="Y11" s="21" t="s">
        <v>104</v>
      </c>
      <c r="Z11" s="11">
        <v>0.58499999999999996</v>
      </c>
      <c r="AA11" s="11">
        <v>0.96399999999999997</v>
      </c>
      <c r="AB11" s="11">
        <v>0</v>
      </c>
      <c r="AC11" s="11">
        <v>3.4</v>
      </c>
      <c r="AE11" s="21" t="s">
        <v>104</v>
      </c>
      <c r="AF11" s="11">
        <v>8.5</v>
      </c>
      <c r="AG11" s="11">
        <v>3.4</v>
      </c>
      <c r="AH11" s="11">
        <v>2.2999999999999998</v>
      </c>
      <c r="AI11" s="11">
        <v>15.5</v>
      </c>
      <c r="AK11" s="21" t="s">
        <v>104</v>
      </c>
      <c r="AL11" s="11">
        <v>9.5039999999999996</v>
      </c>
      <c r="AM11" s="11">
        <v>4.8609999999999998</v>
      </c>
      <c r="AN11" s="11">
        <v>0.3</v>
      </c>
      <c r="AO11" s="11">
        <v>19.5</v>
      </c>
      <c r="AQ11" s="21" t="s">
        <v>104</v>
      </c>
      <c r="AR11" s="11">
        <v>15.148999999999999</v>
      </c>
      <c r="AS11" s="11">
        <v>5.3460000000000001</v>
      </c>
      <c r="AT11" s="11">
        <v>4.9980000000000002</v>
      </c>
      <c r="AU11" s="11">
        <v>25.8</v>
      </c>
      <c r="AW11" s="21" t="s">
        <v>104</v>
      </c>
      <c r="AX11" s="11">
        <v>11.429</v>
      </c>
      <c r="AY11" s="11">
        <v>4.5049999999999999</v>
      </c>
      <c r="AZ11" s="11">
        <v>3.2</v>
      </c>
      <c r="BA11" s="11">
        <v>20.6</v>
      </c>
      <c r="BC11" s="21" t="s">
        <v>104</v>
      </c>
      <c r="BD11" s="11">
        <v>2.8359999999999999</v>
      </c>
      <c r="BE11" s="11">
        <v>3.0150000000000001</v>
      </c>
      <c r="BF11" s="11">
        <v>0</v>
      </c>
      <c r="BG11" s="11">
        <v>10</v>
      </c>
      <c r="BI11" s="21" t="s">
        <v>104</v>
      </c>
      <c r="BJ11" s="11">
        <v>2.1930000000000001</v>
      </c>
      <c r="BK11" s="11">
        <v>2.2850000000000001</v>
      </c>
      <c r="BL11" s="11">
        <v>0</v>
      </c>
      <c r="BM11" s="11">
        <v>7.9</v>
      </c>
    </row>
    <row r="12" spans="1:65" x14ac:dyDescent="0.25">
      <c r="A12" s="22" t="s">
        <v>14</v>
      </c>
      <c r="B12" s="8">
        <v>1.6111286467701</v>
      </c>
      <c r="C12" s="8">
        <v>0.84854871853856051</v>
      </c>
      <c r="D12" s="8">
        <v>0</v>
      </c>
      <c r="E12" s="8">
        <v>3.2742841351056784</v>
      </c>
      <c r="G12" s="22" t="s">
        <v>14</v>
      </c>
      <c r="H12" s="11">
        <v>2.8000000000000001E-2</v>
      </c>
      <c r="I12" s="11">
        <v>0.14399999999999999</v>
      </c>
      <c r="J12" s="11">
        <v>0</v>
      </c>
      <c r="K12" s="11">
        <v>0.2</v>
      </c>
      <c r="M12" s="22" t="s">
        <v>14</v>
      </c>
      <c r="N12" s="11">
        <v>2.7E-2</v>
      </c>
      <c r="O12" s="11">
        <v>0.123</v>
      </c>
      <c r="P12" s="11">
        <v>0</v>
      </c>
      <c r="Q12" s="11">
        <v>0.3</v>
      </c>
      <c r="S12" s="22" t="s">
        <v>14</v>
      </c>
      <c r="T12" s="8">
        <v>0.14799999999999999</v>
      </c>
      <c r="U12" s="8">
        <v>0.47799999999999998</v>
      </c>
      <c r="V12" s="8">
        <v>0</v>
      </c>
      <c r="W12" s="8">
        <v>1.7</v>
      </c>
      <c r="Y12" s="22" t="s">
        <v>14</v>
      </c>
      <c r="Z12" s="11">
        <v>5.7000000000000002E-2</v>
      </c>
      <c r="AA12" s="11">
        <v>0.27400000000000002</v>
      </c>
      <c r="AB12" s="11">
        <v>0</v>
      </c>
      <c r="AC12" s="11">
        <v>0.7</v>
      </c>
      <c r="AE12" s="22" t="s">
        <v>14</v>
      </c>
      <c r="AF12" s="11">
        <v>0.7</v>
      </c>
      <c r="AG12" s="11">
        <v>1.5</v>
      </c>
      <c r="AH12" s="11">
        <v>0</v>
      </c>
      <c r="AI12" s="11">
        <v>5.4</v>
      </c>
      <c r="AK12" s="22" t="s">
        <v>14</v>
      </c>
      <c r="AL12" s="11">
        <v>4.7160000000000002</v>
      </c>
      <c r="AM12" s="11">
        <v>3.9129999999999998</v>
      </c>
      <c r="AN12" s="11">
        <v>0</v>
      </c>
      <c r="AO12" s="11">
        <v>12.9</v>
      </c>
      <c r="AQ12" s="22" t="s">
        <v>14</v>
      </c>
      <c r="AR12" s="11">
        <v>6.8230000000000004</v>
      </c>
      <c r="AS12" s="11">
        <v>4.556</v>
      </c>
      <c r="AT12" s="11">
        <v>0</v>
      </c>
      <c r="AU12" s="11">
        <v>15.602</v>
      </c>
      <c r="AW12" s="22" t="s">
        <v>14</v>
      </c>
      <c r="AX12" s="11">
        <v>5.5679999999999996</v>
      </c>
      <c r="AY12" s="11">
        <v>3.7829999999999999</v>
      </c>
      <c r="AZ12" s="11">
        <v>0</v>
      </c>
      <c r="BA12" s="11">
        <v>14</v>
      </c>
      <c r="BC12" s="22" t="s">
        <v>14</v>
      </c>
      <c r="BD12" s="11">
        <v>0.28999999999999998</v>
      </c>
      <c r="BE12" s="11">
        <v>1.014</v>
      </c>
      <c r="BF12" s="11">
        <v>0</v>
      </c>
      <c r="BG12" s="11">
        <v>3.5</v>
      </c>
      <c r="BI12" s="22" t="s">
        <v>14</v>
      </c>
      <c r="BJ12" s="11">
        <v>0.44700000000000001</v>
      </c>
      <c r="BK12" s="11">
        <v>1.0980000000000001</v>
      </c>
      <c r="BL12" s="11">
        <v>0</v>
      </c>
      <c r="BM12" s="11">
        <v>3.9</v>
      </c>
    </row>
    <row r="13" spans="1:65" x14ac:dyDescent="0.25">
      <c r="A13" s="22" t="s">
        <v>15</v>
      </c>
      <c r="B13" s="8">
        <v>2.3057210012806464</v>
      </c>
      <c r="C13" s="8">
        <v>0.86448012120009532</v>
      </c>
      <c r="D13" s="8">
        <v>0.61133996372845956</v>
      </c>
      <c r="E13" s="8">
        <v>4.000102038832833</v>
      </c>
      <c r="G13" s="22" t="s">
        <v>15</v>
      </c>
      <c r="H13" s="11">
        <v>0.11799999999999999</v>
      </c>
      <c r="I13" s="11">
        <v>0.29899999999999999</v>
      </c>
      <c r="J13" s="11">
        <v>0</v>
      </c>
      <c r="K13" s="11">
        <v>1</v>
      </c>
      <c r="M13" s="22" t="s">
        <v>15</v>
      </c>
      <c r="N13" s="11">
        <v>0.13400000000000001</v>
      </c>
      <c r="O13" s="11">
        <v>0.32100000000000001</v>
      </c>
      <c r="P13" s="11">
        <v>0</v>
      </c>
      <c r="Q13" s="11">
        <v>1.2</v>
      </c>
      <c r="S13" s="22" t="s">
        <v>15</v>
      </c>
      <c r="T13" s="8">
        <v>0.94299999999999995</v>
      </c>
      <c r="U13" s="8">
        <v>1.244</v>
      </c>
      <c r="V13" s="8">
        <v>0</v>
      </c>
      <c r="W13" s="8">
        <v>4.2</v>
      </c>
      <c r="Y13" s="22" t="s">
        <v>15</v>
      </c>
      <c r="Z13" s="11">
        <v>0.53400000000000003</v>
      </c>
      <c r="AA13" s="11">
        <v>0.93200000000000005</v>
      </c>
      <c r="AB13" s="11">
        <v>0</v>
      </c>
      <c r="AC13" s="11">
        <v>3.3</v>
      </c>
      <c r="AE13" s="22" t="s">
        <v>15</v>
      </c>
      <c r="AF13" s="11">
        <v>7.9</v>
      </c>
      <c r="AG13" s="11">
        <v>3.4</v>
      </c>
      <c r="AH13" s="11">
        <v>1.3</v>
      </c>
      <c r="AI13" s="11">
        <v>14.7</v>
      </c>
      <c r="AK13" s="22" t="s">
        <v>15</v>
      </c>
      <c r="AL13" s="11">
        <v>4.7910000000000004</v>
      </c>
      <c r="AM13" s="11">
        <v>4.1319999999999997</v>
      </c>
      <c r="AN13" s="11">
        <v>0</v>
      </c>
      <c r="AO13" s="11">
        <v>13.7</v>
      </c>
      <c r="AQ13" s="22" t="s">
        <v>15</v>
      </c>
      <c r="AR13" s="11">
        <v>8.3230000000000004</v>
      </c>
      <c r="AS13" s="11">
        <v>3.9540000000000002</v>
      </c>
      <c r="AT13" s="11">
        <v>0.1</v>
      </c>
      <c r="AU13" s="11">
        <v>16.399999999999999</v>
      </c>
      <c r="AW13" s="22" t="s">
        <v>15</v>
      </c>
      <c r="AX13" s="11">
        <v>5.8529999999999998</v>
      </c>
      <c r="AY13" s="11">
        <v>3.617</v>
      </c>
      <c r="AZ13" s="11">
        <v>0</v>
      </c>
      <c r="BA13" s="11">
        <v>13.5</v>
      </c>
      <c r="BC13" s="22" t="s">
        <v>15</v>
      </c>
      <c r="BD13" s="11">
        <v>2.552</v>
      </c>
      <c r="BE13" s="11">
        <v>2.9319999999999999</v>
      </c>
      <c r="BF13" s="11">
        <v>0</v>
      </c>
      <c r="BG13" s="11">
        <v>9.6999999999999993</v>
      </c>
      <c r="BI13" s="22" t="s">
        <v>15</v>
      </c>
      <c r="BJ13" s="11">
        <v>1.752</v>
      </c>
      <c r="BK13" s="11">
        <v>2.214</v>
      </c>
      <c r="BL13" s="11">
        <v>0</v>
      </c>
      <c r="BM13" s="11">
        <v>7.6</v>
      </c>
    </row>
    <row r="14" spans="1:65" x14ac:dyDescent="0.25">
      <c r="A14" s="21" t="s">
        <v>105</v>
      </c>
      <c r="B14" s="8">
        <v>4.7468162206408513</v>
      </c>
      <c r="C14" s="8">
        <v>0.54473148804250882</v>
      </c>
      <c r="D14" s="8">
        <v>3.6791425040775341</v>
      </c>
      <c r="E14" s="8">
        <v>5.8144899372041685</v>
      </c>
      <c r="G14" s="21" t="s">
        <v>105</v>
      </c>
      <c r="H14" s="11">
        <v>7.0000000000000007E-2</v>
      </c>
      <c r="I14" s="11">
        <v>0.183</v>
      </c>
      <c r="J14" s="11">
        <v>0</v>
      </c>
      <c r="K14" s="11">
        <v>0.6</v>
      </c>
      <c r="M14" s="21" t="s">
        <v>105</v>
      </c>
      <c r="N14" s="11">
        <v>5.5E-2</v>
      </c>
      <c r="O14" s="11">
        <v>0.14899999999999999</v>
      </c>
      <c r="P14" s="11">
        <v>0</v>
      </c>
      <c r="Q14" s="11">
        <v>0.4</v>
      </c>
      <c r="S14" s="21" t="s">
        <v>105</v>
      </c>
      <c r="T14" s="8">
        <v>9.6000000000000002E-2</v>
      </c>
      <c r="U14" s="8">
        <v>0.246</v>
      </c>
      <c r="V14" s="8">
        <v>0</v>
      </c>
      <c r="W14" s="8">
        <v>0.8</v>
      </c>
      <c r="Y14" s="21" t="s">
        <v>105</v>
      </c>
      <c r="Z14" s="11">
        <v>5.0999999999999997E-2</v>
      </c>
      <c r="AA14" s="11">
        <v>0.13200000000000001</v>
      </c>
      <c r="AB14" s="11">
        <v>0</v>
      </c>
      <c r="AC14" s="11">
        <v>0.4</v>
      </c>
      <c r="AE14" s="21" t="s">
        <v>105</v>
      </c>
      <c r="AF14" s="11">
        <v>3.3</v>
      </c>
      <c r="AG14" s="11">
        <v>1.1000000000000001</v>
      </c>
      <c r="AH14" s="11">
        <v>1.5</v>
      </c>
      <c r="AI14" s="11">
        <v>5.8</v>
      </c>
      <c r="AK14" s="21" t="s">
        <v>105</v>
      </c>
      <c r="AL14" s="11">
        <v>13.472</v>
      </c>
      <c r="AM14" s="11">
        <v>2.2189999999999999</v>
      </c>
      <c r="AN14" s="11">
        <v>9.4</v>
      </c>
      <c r="AO14" s="11">
        <v>18.2</v>
      </c>
      <c r="AQ14" s="21" t="s">
        <v>105</v>
      </c>
      <c r="AR14" s="11">
        <v>17.324999999999999</v>
      </c>
      <c r="AS14" s="11">
        <v>2.903</v>
      </c>
      <c r="AT14" s="11">
        <v>11.9</v>
      </c>
      <c r="AU14" s="11">
        <v>23.3</v>
      </c>
      <c r="AW14" s="21" t="s">
        <v>105</v>
      </c>
      <c r="AX14" s="11">
        <v>14.375</v>
      </c>
      <c r="AY14" s="11">
        <v>2.4049999999999998</v>
      </c>
      <c r="AZ14" s="11">
        <v>10</v>
      </c>
      <c r="BA14" s="11">
        <v>19.2</v>
      </c>
      <c r="BC14" s="21" t="s">
        <v>105</v>
      </c>
      <c r="BD14" s="11">
        <v>13.385</v>
      </c>
      <c r="BE14" s="11">
        <v>2.5099999999999998</v>
      </c>
      <c r="BF14" s="11">
        <v>8.8000000000000007</v>
      </c>
      <c r="BG14" s="11">
        <v>18.501999999999999</v>
      </c>
      <c r="BI14" s="21" t="s">
        <v>105</v>
      </c>
      <c r="BJ14" s="11">
        <v>7.109</v>
      </c>
      <c r="BK14" s="11">
        <v>1.766</v>
      </c>
      <c r="BL14" s="11">
        <v>4.0979999999999999</v>
      </c>
      <c r="BM14" s="11">
        <v>10.9</v>
      </c>
    </row>
    <row r="15" spans="1:65" x14ac:dyDescent="0.25">
      <c r="A15" s="22" t="s">
        <v>17</v>
      </c>
      <c r="B15" s="8">
        <v>4.6341060738793836</v>
      </c>
      <c r="C15" s="8">
        <v>0.53650891639197817</v>
      </c>
      <c r="D15" s="8">
        <v>3.5825485977511065</v>
      </c>
      <c r="E15" s="8">
        <v>5.6856635500076607</v>
      </c>
      <c r="G15" s="22" t="s">
        <v>17</v>
      </c>
      <c r="H15" s="11">
        <v>3.5000000000000003E-2</v>
      </c>
      <c r="I15" s="11">
        <v>0.114</v>
      </c>
      <c r="J15" s="11">
        <v>0</v>
      </c>
      <c r="K15" s="11">
        <v>0.3</v>
      </c>
      <c r="M15" s="22" t="s">
        <v>17</v>
      </c>
      <c r="N15" s="11">
        <v>3.5000000000000003E-2</v>
      </c>
      <c r="O15" s="11">
        <v>0.108</v>
      </c>
      <c r="P15" s="11">
        <v>0</v>
      </c>
      <c r="Q15" s="11">
        <v>0.3</v>
      </c>
      <c r="S15" s="22" t="s">
        <v>17</v>
      </c>
      <c r="T15" s="8">
        <v>3.5999999999999997E-2</v>
      </c>
      <c r="U15" s="8">
        <v>0.113</v>
      </c>
      <c r="V15" s="8">
        <v>0</v>
      </c>
      <c r="W15" s="8">
        <v>0.3</v>
      </c>
      <c r="Y15" s="22" t="s">
        <v>17</v>
      </c>
      <c r="Z15" s="11">
        <v>3.5000000000000003E-2</v>
      </c>
      <c r="AA15" s="11">
        <v>0.10299999999999999</v>
      </c>
      <c r="AB15" s="11">
        <v>0</v>
      </c>
      <c r="AC15" s="11">
        <v>0.3</v>
      </c>
      <c r="AE15" s="22" t="s">
        <v>17</v>
      </c>
      <c r="AF15" s="11">
        <v>3.3</v>
      </c>
      <c r="AG15" s="11">
        <v>1.1000000000000001</v>
      </c>
      <c r="AH15" s="11">
        <v>1.5</v>
      </c>
      <c r="AI15" s="11">
        <v>5.8</v>
      </c>
      <c r="AK15" s="22" t="s">
        <v>17</v>
      </c>
      <c r="AL15" s="11">
        <v>13.316000000000001</v>
      </c>
      <c r="AM15" s="11">
        <v>2.177</v>
      </c>
      <c r="AN15" s="11">
        <v>9.3000000000000007</v>
      </c>
      <c r="AO15" s="11">
        <v>18</v>
      </c>
      <c r="AQ15" s="22" t="s">
        <v>17</v>
      </c>
      <c r="AR15" s="11">
        <v>17.04</v>
      </c>
      <c r="AS15" s="11">
        <v>2.8769999999999998</v>
      </c>
      <c r="AT15" s="11">
        <v>11.7</v>
      </c>
      <c r="AU15" s="11">
        <v>23</v>
      </c>
      <c r="AW15" s="22" t="s">
        <v>17</v>
      </c>
      <c r="AX15" s="11">
        <v>14.304</v>
      </c>
      <c r="AY15" s="11">
        <v>2.391</v>
      </c>
      <c r="AZ15" s="11">
        <v>9.9</v>
      </c>
      <c r="BA15" s="11">
        <v>19.2</v>
      </c>
      <c r="BC15" s="22" t="s">
        <v>17</v>
      </c>
      <c r="BD15" s="11">
        <v>11.548</v>
      </c>
      <c r="BE15" s="11">
        <v>2.0339999999999998</v>
      </c>
      <c r="BF15" s="11">
        <v>7.8</v>
      </c>
      <c r="BG15" s="11">
        <v>15.8</v>
      </c>
      <c r="BI15" s="22" t="s">
        <v>17</v>
      </c>
      <c r="BJ15" s="11">
        <v>6.9370000000000003</v>
      </c>
      <c r="BK15" s="11">
        <v>1.714</v>
      </c>
      <c r="BL15" s="11">
        <v>4</v>
      </c>
      <c r="BM15" s="11">
        <v>10.6</v>
      </c>
    </row>
    <row r="16" spans="1:65" x14ac:dyDescent="0.25">
      <c r="A16" s="22" t="s">
        <v>18</v>
      </c>
      <c r="B16" s="8">
        <v>0.11686274334566586</v>
      </c>
      <c r="C16" s="8">
        <v>0.10069278833182556</v>
      </c>
      <c r="D16" s="8">
        <v>0</v>
      </c>
      <c r="E16" s="8">
        <v>0.31422060847604394</v>
      </c>
      <c r="G16" s="22" t="s">
        <v>18</v>
      </c>
      <c r="H16" s="11">
        <v>3.9E-2</v>
      </c>
      <c r="I16" s="11">
        <v>0.14799999999999999</v>
      </c>
      <c r="J16" s="11">
        <v>0</v>
      </c>
      <c r="K16" s="11">
        <v>0.4</v>
      </c>
      <c r="M16" s="22" t="s">
        <v>18</v>
      </c>
      <c r="N16" s="11">
        <v>2.5000000000000001E-2</v>
      </c>
      <c r="O16" s="11">
        <v>0.106</v>
      </c>
      <c r="P16" s="11">
        <v>0</v>
      </c>
      <c r="Q16" s="11">
        <v>0.2</v>
      </c>
      <c r="S16" s="22" t="s">
        <v>18</v>
      </c>
      <c r="T16" s="8">
        <v>6.5000000000000002E-2</v>
      </c>
      <c r="U16" s="8">
        <v>0.219</v>
      </c>
      <c r="V16" s="8">
        <v>0</v>
      </c>
      <c r="W16" s="8">
        <v>0.7</v>
      </c>
      <c r="Y16" s="22" t="s">
        <v>18</v>
      </c>
      <c r="Z16" s="11">
        <v>2.1000000000000001E-2</v>
      </c>
      <c r="AA16" s="11">
        <v>8.5999999999999993E-2</v>
      </c>
      <c r="AB16" s="11">
        <v>0</v>
      </c>
      <c r="AC16" s="11">
        <v>0.1</v>
      </c>
      <c r="AE16" s="22" t="s">
        <v>18</v>
      </c>
      <c r="AF16" s="11">
        <v>0</v>
      </c>
      <c r="AG16" s="11">
        <v>0.1</v>
      </c>
      <c r="AH16" s="11">
        <v>0</v>
      </c>
      <c r="AI16" s="11">
        <v>0.3</v>
      </c>
      <c r="AK16" s="22" t="s">
        <v>18</v>
      </c>
      <c r="AL16" s="11">
        <v>0.16500000000000001</v>
      </c>
      <c r="AM16" s="11">
        <v>0.432</v>
      </c>
      <c r="AN16" s="11">
        <v>0</v>
      </c>
      <c r="AO16" s="11">
        <v>1.5</v>
      </c>
      <c r="AQ16" s="22" t="s">
        <v>18</v>
      </c>
      <c r="AR16" s="11">
        <v>0.28999999999999998</v>
      </c>
      <c r="AS16" s="11">
        <v>0.56499999999999995</v>
      </c>
      <c r="AT16" s="11">
        <v>0</v>
      </c>
      <c r="AU16" s="11">
        <v>2</v>
      </c>
      <c r="AW16" s="22" t="s">
        <v>18</v>
      </c>
      <c r="AX16" s="11">
        <v>7.4999999999999997E-2</v>
      </c>
      <c r="AY16" s="11">
        <v>0.3</v>
      </c>
      <c r="AZ16" s="11">
        <v>0</v>
      </c>
      <c r="BA16" s="11">
        <v>1</v>
      </c>
      <c r="BC16" s="22" t="s">
        <v>18</v>
      </c>
      <c r="BD16" s="11">
        <v>1.83</v>
      </c>
      <c r="BE16" s="11">
        <v>1.4770000000000001</v>
      </c>
      <c r="BF16" s="11">
        <v>0</v>
      </c>
      <c r="BG16" s="11">
        <v>5</v>
      </c>
      <c r="BI16" s="22" t="s">
        <v>18</v>
      </c>
      <c r="BJ16" s="11">
        <v>0.17499999999999999</v>
      </c>
      <c r="BK16" s="11">
        <v>0.45100000000000001</v>
      </c>
      <c r="BL16" s="11">
        <v>0</v>
      </c>
      <c r="BM16" s="11">
        <v>1.7</v>
      </c>
    </row>
    <row r="17" spans="1:65" x14ac:dyDescent="0.25">
      <c r="A17" s="20" t="s">
        <v>41</v>
      </c>
      <c r="B17" s="8">
        <v>24.952171273506867</v>
      </c>
      <c r="C17" s="8">
        <v>1.2098611151810243</v>
      </c>
      <c r="D17" s="8">
        <v>22.580843487752059</v>
      </c>
      <c r="E17" s="8">
        <v>27.323499059261675</v>
      </c>
      <c r="G17" s="20" t="s">
        <v>41</v>
      </c>
      <c r="H17" s="11">
        <v>0.33800000000000002</v>
      </c>
      <c r="I17" s="11">
        <v>0.60199999999999998</v>
      </c>
      <c r="J17" s="11">
        <v>0</v>
      </c>
      <c r="K17" s="11">
        <v>2.1</v>
      </c>
      <c r="M17" s="20" t="s">
        <v>41</v>
      </c>
      <c r="N17" s="11">
        <v>0.26500000000000001</v>
      </c>
      <c r="O17" s="11">
        <v>0.47199999999999998</v>
      </c>
      <c r="P17" s="11">
        <v>0</v>
      </c>
      <c r="Q17" s="11">
        <v>1.6</v>
      </c>
      <c r="S17" s="20" t="s">
        <v>41</v>
      </c>
      <c r="T17" s="8">
        <v>2.379</v>
      </c>
      <c r="U17" s="8">
        <v>2.0510000000000002</v>
      </c>
      <c r="V17" s="8">
        <v>0</v>
      </c>
      <c r="W17" s="8">
        <v>7.1</v>
      </c>
      <c r="Y17" s="20" t="s">
        <v>41</v>
      </c>
      <c r="Z17" s="11">
        <v>0.753</v>
      </c>
      <c r="AA17" s="11">
        <v>1.2230000000000001</v>
      </c>
      <c r="AB17" s="11">
        <v>0</v>
      </c>
      <c r="AC17" s="11">
        <v>4.4000000000000004</v>
      </c>
      <c r="AE17" s="20" t="s">
        <v>41</v>
      </c>
      <c r="AF17" s="11">
        <v>25.4</v>
      </c>
      <c r="AG17" s="11">
        <v>4.0999999999999996</v>
      </c>
      <c r="AH17" s="11">
        <v>17.7</v>
      </c>
      <c r="AI17" s="11">
        <v>33.700000000000003</v>
      </c>
      <c r="AK17" s="20" t="s">
        <v>41</v>
      </c>
      <c r="AL17" s="11">
        <v>50.451999999999998</v>
      </c>
      <c r="AM17" s="11">
        <v>6.4189999999999996</v>
      </c>
      <c r="AN17" s="11">
        <v>37.9</v>
      </c>
      <c r="AO17" s="11">
        <v>62.7</v>
      </c>
      <c r="AQ17" s="20" t="s">
        <v>41</v>
      </c>
      <c r="AR17" s="11">
        <v>53.618000000000002</v>
      </c>
      <c r="AS17" s="11">
        <v>6.1360000000000001</v>
      </c>
      <c r="AT17" s="11">
        <v>41.7</v>
      </c>
      <c r="AU17" s="11">
        <v>65.402000000000001</v>
      </c>
      <c r="AW17" s="20" t="s">
        <v>41</v>
      </c>
      <c r="AX17" s="11">
        <v>72.992000000000004</v>
      </c>
      <c r="AY17" s="11">
        <v>4.9489999999999998</v>
      </c>
      <c r="AZ17" s="11">
        <v>62.8</v>
      </c>
      <c r="BA17" s="11">
        <v>82.2</v>
      </c>
      <c r="BC17" s="20" t="s">
        <v>41</v>
      </c>
      <c r="BD17" s="11">
        <v>80.88</v>
      </c>
      <c r="BE17" s="11">
        <v>3.4340000000000002</v>
      </c>
      <c r="BF17" s="11">
        <v>73.599999999999994</v>
      </c>
      <c r="BG17" s="11">
        <v>86.802000000000007</v>
      </c>
      <c r="BI17" s="20" t="s">
        <v>41</v>
      </c>
      <c r="BJ17" s="11">
        <v>86.7</v>
      </c>
      <c r="BK17" s="11">
        <v>3.202</v>
      </c>
      <c r="BL17" s="11">
        <v>79.597999999999999</v>
      </c>
      <c r="BM17" s="11">
        <v>92.1</v>
      </c>
    </row>
    <row r="18" spans="1:65" x14ac:dyDescent="0.25">
      <c r="A18" s="20" t="s">
        <v>106</v>
      </c>
      <c r="B18" s="8">
        <v>7.0459841922939823</v>
      </c>
      <c r="C18" s="8">
        <v>0.98092553883444356</v>
      </c>
      <c r="D18" s="8">
        <v>5.1233701361784725</v>
      </c>
      <c r="E18" s="8">
        <v>8.9685982484094922</v>
      </c>
      <c r="G18" s="20" t="s">
        <v>106</v>
      </c>
      <c r="H18" s="11">
        <v>0.17499999999999999</v>
      </c>
      <c r="I18" s="11">
        <v>0.34899999999999998</v>
      </c>
      <c r="J18" s="11">
        <v>0</v>
      </c>
      <c r="K18" s="11">
        <v>1.2</v>
      </c>
      <c r="M18" s="20" t="s">
        <v>106</v>
      </c>
      <c r="N18" s="11">
        <v>0.17599999999999999</v>
      </c>
      <c r="O18" s="11">
        <v>0.35</v>
      </c>
      <c r="P18" s="11">
        <v>0</v>
      </c>
      <c r="Q18" s="11">
        <v>1.3</v>
      </c>
      <c r="S18" s="20" t="s">
        <v>106</v>
      </c>
      <c r="T18" s="8">
        <v>1.028</v>
      </c>
      <c r="U18" s="8">
        <v>1.2430000000000001</v>
      </c>
      <c r="V18" s="8">
        <v>0</v>
      </c>
      <c r="W18" s="8">
        <v>4.2</v>
      </c>
      <c r="Y18" s="20" t="s">
        <v>106</v>
      </c>
      <c r="Z18" s="11">
        <v>0.57299999999999995</v>
      </c>
      <c r="AA18" s="11">
        <v>0.94099999999999995</v>
      </c>
      <c r="AB18" s="11">
        <v>0</v>
      </c>
      <c r="AC18" s="11">
        <v>3.3</v>
      </c>
      <c r="AE18" s="20" t="s">
        <v>106</v>
      </c>
      <c r="AF18" s="11">
        <v>11.2</v>
      </c>
      <c r="AG18" s="11">
        <v>3.5</v>
      </c>
      <c r="AH18" s="11">
        <v>4.5</v>
      </c>
      <c r="AI18" s="11">
        <v>18.3</v>
      </c>
      <c r="AK18" s="20" t="s">
        <v>106</v>
      </c>
      <c r="AL18" s="11">
        <v>18.263999999999999</v>
      </c>
      <c r="AM18" s="11">
        <v>4.4969999999999999</v>
      </c>
      <c r="AN18" s="11">
        <v>10.8</v>
      </c>
      <c r="AO18" s="11">
        <v>27.8</v>
      </c>
      <c r="AQ18" s="20" t="s">
        <v>106</v>
      </c>
      <c r="AR18" s="11">
        <v>25.654</v>
      </c>
      <c r="AS18" s="11">
        <v>4.6669999999999998</v>
      </c>
      <c r="AT18" s="11">
        <v>16.600000000000001</v>
      </c>
      <c r="AU18" s="11">
        <v>35.1</v>
      </c>
      <c r="AW18" s="20" t="s">
        <v>106</v>
      </c>
      <c r="AX18" s="11">
        <v>20.233000000000001</v>
      </c>
      <c r="AY18" s="11">
        <v>4.1689999999999996</v>
      </c>
      <c r="AZ18" s="11">
        <v>12.6</v>
      </c>
      <c r="BA18" s="11">
        <v>28.7</v>
      </c>
      <c r="BC18" s="20" t="s">
        <v>106</v>
      </c>
      <c r="BD18" s="11">
        <v>15.936</v>
      </c>
      <c r="BE18" s="11">
        <v>3.226</v>
      </c>
      <c r="BF18" s="11">
        <v>10.4</v>
      </c>
      <c r="BG18" s="11">
        <v>22.9</v>
      </c>
      <c r="BI18" s="20" t="s">
        <v>106</v>
      </c>
      <c r="BJ18" s="11">
        <v>8.8620000000000001</v>
      </c>
      <c r="BK18" s="11">
        <v>2.7810000000000001</v>
      </c>
      <c r="BL18" s="11">
        <v>4.5999999999999996</v>
      </c>
      <c r="BM18" s="11">
        <v>15.2</v>
      </c>
    </row>
    <row r="19" spans="1:65" x14ac:dyDescent="0.25">
      <c r="A19" s="20" t="s">
        <v>22</v>
      </c>
      <c r="B19" s="8">
        <v>21.440280854793386</v>
      </c>
      <c r="C19" s="8">
        <v>0.97652824464306331</v>
      </c>
      <c r="D19" s="8">
        <v>19.526285495292981</v>
      </c>
      <c r="E19" s="8">
        <v>23.35427621429379</v>
      </c>
      <c r="G19" s="20" t="s">
        <v>22</v>
      </c>
      <c r="H19" s="11">
        <v>0.315</v>
      </c>
      <c r="I19" s="11">
        <v>0.52100000000000002</v>
      </c>
      <c r="J19" s="11">
        <v>0</v>
      </c>
      <c r="K19" s="11">
        <v>1.8</v>
      </c>
      <c r="M19" s="20" t="s">
        <v>22</v>
      </c>
      <c r="N19" s="11">
        <v>0.33100000000000002</v>
      </c>
      <c r="O19" s="11">
        <v>0.51900000000000002</v>
      </c>
      <c r="P19" s="11">
        <v>0</v>
      </c>
      <c r="Q19" s="11">
        <v>1.9</v>
      </c>
      <c r="S19" s="20" t="s">
        <v>22</v>
      </c>
      <c r="T19" s="8">
        <v>3.2370000000000001</v>
      </c>
      <c r="U19" s="8">
        <v>1.7609999999999999</v>
      </c>
      <c r="V19" s="8">
        <v>0.5</v>
      </c>
      <c r="W19" s="8">
        <v>7.3</v>
      </c>
      <c r="Y19" s="20" t="s">
        <v>22</v>
      </c>
      <c r="Z19" s="11">
        <v>1.236</v>
      </c>
      <c r="AA19" s="11">
        <v>1.4570000000000001</v>
      </c>
      <c r="AB19" s="11">
        <v>0</v>
      </c>
      <c r="AC19" s="11">
        <v>5.0999999999999996</v>
      </c>
      <c r="AE19" s="20" t="s">
        <v>22</v>
      </c>
      <c r="AF19" s="11">
        <v>37.1</v>
      </c>
      <c r="AG19" s="11">
        <v>4</v>
      </c>
      <c r="AH19" s="11">
        <v>29.5</v>
      </c>
      <c r="AI19" s="11">
        <v>45.6</v>
      </c>
      <c r="AK19" s="20" t="s">
        <v>22</v>
      </c>
      <c r="AL19" s="11">
        <v>64.069999999999993</v>
      </c>
      <c r="AM19" s="11">
        <v>4.8209999999999997</v>
      </c>
      <c r="AN19" s="11">
        <v>54.6</v>
      </c>
      <c r="AO19" s="11">
        <v>73.400000000000006</v>
      </c>
      <c r="AQ19" s="20" t="s">
        <v>22</v>
      </c>
      <c r="AR19" s="11">
        <v>70.805000000000007</v>
      </c>
      <c r="AS19" s="11">
        <v>4.149</v>
      </c>
      <c r="AT19" s="11">
        <v>62.4</v>
      </c>
      <c r="AU19" s="11">
        <v>78.599999999999994</v>
      </c>
      <c r="AW19" s="20" t="s">
        <v>22</v>
      </c>
      <c r="AX19" s="11">
        <v>62.77</v>
      </c>
      <c r="AY19" s="11">
        <v>3.915</v>
      </c>
      <c r="AZ19" s="11">
        <v>54.9</v>
      </c>
      <c r="BA19" s="11">
        <v>70.3</v>
      </c>
      <c r="BC19" s="20" t="s">
        <v>22</v>
      </c>
      <c r="BD19" s="11">
        <v>33.256</v>
      </c>
      <c r="BE19" s="11">
        <v>3.593</v>
      </c>
      <c r="BF19" s="11">
        <v>26.3</v>
      </c>
      <c r="BG19" s="11">
        <v>40.4</v>
      </c>
      <c r="BI19" s="20" t="s">
        <v>22</v>
      </c>
      <c r="BJ19" s="11">
        <v>22.832000000000001</v>
      </c>
      <c r="BK19" s="11">
        <v>3.3929999999999998</v>
      </c>
      <c r="BL19" s="11">
        <v>16.5</v>
      </c>
      <c r="BM19" s="11">
        <v>29.8</v>
      </c>
    </row>
    <row r="20" spans="1:65" x14ac:dyDescent="0.25">
      <c r="A20" s="20" t="s">
        <v>42</v>
      </c>
      <c r="B20" s="8">
        <v>91.345545774527011</v>
      </c>
      <c r="C20" s="8">
        <v>1.117853706957042</v>
      </c>
      <c r="D20" s="8">
        <v>89.154552508891214</v>
      </c>
      <c r="E20" s="8">
        <v>93.536539040162808</v>
      </c>
      <c r="G20" s="20" t="s">
        <v>42</v>
      </c>
      <c r="H20" s="11">
        <v>99.804000000000002</v>
      </c>
      <c r="I20" s="11">
        <v>0.372</v>
      </c>
      <c r="J20" s="11">
        <v>98.7</v>
      </c>
      <c r="K20" s="11">
        <v>100</v>
      </c>
      <c r="M20" s="20" t="s">
        <v>42</v>
      </c>
      <c r="N20" s="11">
        <v>99.804000000000002</v>
      </c>
      <c r="O20" s="11">
        <v>0.36599999999999999</v>
      </c>
      <c r="P20" s="11">
        <v>98.6</v>
      </c>
      <c r="Q20" s="11">
        <v>100</v>
      </c>
      <c r="S20" s="20" t="s">
        <v>42</v>
      </c>
      <c r="T20" s="8">
        <v>98.831999999999994</v>
      </c>
      <c r="U20" s="8">
        <v>1.288</v>
      </c>
      <c r="V20" s="8">
        <v>95.5</v>
      </c>
      <c r="W20" s="8">
        <v>100</v>
      </c>
      <c r="Y20" s="20" t="s">
        <v>42</v>
      </c>
      <c r="Z20" s="11">
        <v>99.376999999999995</v>
      </c>
      <c r="AA20" s="11">
        <v>0.97099999999999997</v>
      </c>
      <c r="AB20" s="11">
        <v>96.5</v>
      </c>
      <c r="AC20" s="11">
        <v>100</v>
      </c>
      <c r="AE20" s="20" t="s">
        <v>42</v>
      </c>
      <c r="AF20" s="11">
        <v>88.1</v>
      </c>
      <c r="AG20" s="11">
        <v>3.6</v>
      </c>
      <c r="AH20" s="11">
        <v>80.8</v>
      </c>
      <c r="AI20" s="11">
        <v>94.6</v>
      </c>
      <c r="AK20" s="20" t="s">
        <v>42</v>
      </c>
      <c r="AL20" s="11">
        <v>77.016999999999996</v>
      </c>
      <c r="AM20" s="11">
        <v>5.1589999999999998</v>
      </c>
      <c r="AN20" s="11">
        <v>66.7</v>
      </c>
      <c r="AO20" s="11">
        <v>86.6</v>
      </c>
      <c r="AQ20" s="20" t="s">
        <v>42</v>
      </c>
      <c r="AR20" s="11">
        <v>67.518000000000001</v>
      </c>
      <c r="AS20" s="11">
        <v>5.726</v>
      </c>
      <c r="AT20" s="11">
        <v>56.398000000000003</v>
      </c>
      <c r="AU20" s="11">
        <v>78.7</v>
      </c>
      <c r="AW20" s="20" t="s">
        <v>42</v>
      </c>
      <c r="AX20" s="11">
        <v>74.19</v>
      </c>
      <c r="AY20" s="11">
        <v>4.8</v>
      </c>
      <c r="AZ20" s="11">
        <v>64.3</v>
      </c>
      <c r="BA20" s="11">
        <v>83.001999999999995</v>
      </c>
      <c r="BC20" s="20" t="s">
        <v>42</v>
      </c>
      <c r="BD20" s="11">
        <v>83.778999999999996</v>
      </c>
      <c r="BE20" s="11">
        <v>3.3140000000000001</v>
      </c>
      <c r="BF20" s="11">
        <v>76.5</v>
      </c>
      <c r="BG20" s="11">
        <v>89.402000000000001</v>
      </c>
      <c r="BI20" s="20" t="s">
        <v>42</v>
      </c>
      <c r="BJ20" s="11">
        <v>90.694000000000003</v>
      </c>
      <c r="BK20" s="11">
        <v>2.8479999999999999</v>
      </c>
      <c r="BL20" s="11">
        <v>84.3</v>
      </c>
      <c r="BM20" s="11">
        <v>95.102000000000004</v>
      </c>
    </row>
    <row r="21" spans="1:65" x14ac:dyDescent="0.25">
      <c r="A21" s="20" t="s">
        <v>21</v>
      </c>
      <c r="B21" s="8">
        <v>8.6544542254729802</v>
      </c>
      <c r="C21" s="8">
        <v>1.1180046205979333</v>
      </c>
      <c r="D21" s="8">
        <v>6.463165169101031</v>
      </c>
      <c r="E21" s="8">
        <v>10.845743281844928</v>
      </c>
      <c r="G21" s="20" t="s">
        <v>21</v>
      </c>
      <c r="H21" s="11">
        <v>0.19600000000000001</v>
      </c>
      <c r="I21" s="11">
        <v>0.375</v>
      </c>
      <c r="J21" s="11">
        <v>0</v>
      </c>
      <c r="K21" s="11">
        <v>1.3</v>
      </c>
      <c r="M21" s="20" t="s">
        <v>21</v>
      </c>
      <c r="N21" s="11">
        <v>0.19600000000000001</v>
      </c>
      <c r="O21" s="11">
        <v>0.36799999999999999</v>
      </c>
      <c r="P21" s="11">
        <v>0</v>
      </c>
      <c r="Q21" s="11">
        <v>1.3</v>
      </c>
      <c r="S21" s="20" t="s">
        <v>21</v>
      </c>
      <c r="T21" s="8">
        <v>1.1679999999999999</v>
      </c>
      <c r="U21" s="8">
        <v>1.29</v>
      </c>
      <c r="V21" s="8">
        <v>0</v>
      </c>
      <c r="W21" s="8">
        <v>4.5</v>
      </c>
      <c r="Y21" s="20" t="s">
        <v>21</v>
      </c>
      <c r="Z21" s="11">
        <v>0.623</v>
      </c>
      <c r="AA21" s="11">
        <v>0.97299999999999998</v>
      </c>
      <c r="AB21" s="11">
        <v>0</v>
      </c>
      <c r="AC21" s="11">
        <v>3.5</v>
      </c>
      <c r="AE21" s="20" t="s">
        <v>21</v>
      </c>
      <c r="AF21" s="11">
        <v>11.9</v>
      </c>
      <c r="AG21" s="11">
        <v>3.6</v>
      </c>
      <c r="AH21" s="11">
        <v>5.3</v>
      </c>
      <c r="AI21" s="11">
        <v>19.2</v>
      </c>
      <c r="AK21" s="20" t="s">
        <v>21</v>
      </c>
      <c r="AL21" s="11">
        <v>22.983000000000001</v>
      </c>
      <c r="AM21" s="11">
        <v>5.1589999999999998</v>
      </c>
      <c r="AN21" s="11">
        <v>13.4</v>
      </c>
      <c r="AO21" s="11">
        <v>33.201999999999998</v>
      </c>
      <c r="AQ21" s="20" t="s">
        <v>21</v>
      </c>
      <c r="AR21" s="11">
        <v>32.481999999999999</v>
      </c>
      <c r="AS21" s="11">
        <v>5.726</v>
      </c>
      <c r="AT21" s="11">
        <v>21.3</v>
      </c>
      <c r="AU21" s="11">
        <v>43.6</v>
      </c>
      <c r="AW21" s="20" t="s">
        <v>21</v>
      </c>
      <c r="AX21" s="11">
        <v>25.81</v>
      </c>
      <c r="AY21" s="11">
        <v>4.8</v>
      </c>
      <c r="AZ21" s="11">
        <v>16.998000000000001</v>
      </c>
      <c r="BA21" s="11">
        <v>35.601999999999997</v>
      </c>
      <c r="BC21" s="20" t="s">
        <v>21</v>
      </c>
      <c r="BD21" s="11">
        <v>16.221</v>
      </c>
      <c r="BE21" s="11">
        <v>3.3130000000000002</v>
      </c>
      <c r="BF21" s="11">
        <v>10.5</v>
      </c>
      <c r="BG21" s="11">
        <v>23.5</v>
      </c>
      <c r="BI21" s="20" t="s">
        <v>21</v>
      </c>
      <c r="BJ21" s="11">
        <v>9.3059999999999992</v>
      </c>
      <c r="BK21" s="11">
        <v>2.8479999999999999</v>
      </c>
      <c r="BL21" s="11">
        <v>4.8</v>
      </c>
      <c r="BM21" s="11">
        <v>15.7</v>
      </c>
    </row>
    <row r="25" spans="1:65" x14ac:dyDescent="0.25">
      <c r="A25" s="5" t="s">
        <v>223</v>
      </c>
      <c r="G25" s="16" t="s">
        <v>195</v>
      </c>
    </row>
    <row r="26" spans="1:65" x14ac:dyDescent="0.25">
      <c r="A26" t="s">
        <v>64</v>
      </c>
      <c r="B26" s="7" t="s">
        <v>65</v>
      </c>
      <c r="C26" s="7" t="s">
        <v>34</v>
      </c>
      <c r="D26" s="14" t="s">
        <v>111</v>
      </c>
      <c r="E26" s="14"/>
      <c r="G26" s="16" t="s">
        <v>196</v>
      </c>
    </row>
    <row r="27" spans="1:65" x14ac:dyDescent="0.25">
      <c r="A27" s="20" t="s">
        <v>9</v>
      </c>
      <c r="B27" s="8">
        <v>98.548890435471108</v>
      </c>
      <c r="C27" s="8">
        <v>0.64945127190527185</v>
      </c>
      <c r="D27" s="8">
        <v>97.275965942536772</v>
      </c>
      <c r="E27" s="8">
        <v>99.821814928405445</v>
      </c>
      <c r="G27" s="17" t="s">
        <v>197</v>
      </c>
    </row>
    <row r="28" spans="1:65" x14ac:dyDescent="0.25">
      <c r="A28" s="21" t="s">
        <v>10</v>
      </c>
      <c r="B28" s="8">
        <v>78.315725594712944</v>
      </c>
      <c r="C28" s="8">
        <v>3.4932607190516043</v>
      </c>
      <c r="D28" s="8">
        <v>71.468934585371798</v>
      </c>
      <c r="E28" s="8">
        <v>85.16251660405409</v>
      </c>
      <c r="G28" s="18" t="s">
        <v>198</v>
      </c>
    </row>
    <row r="29" spans="1:65" x14ac:dyDescent="0.25">
      <c r="A29" s="21" t="s">
        <v>101</v>
      </c>
      <c r="B29" s="8">
        <v>20.193128868421482</v>
      </c>
      <c r="C29" s="8">
        <v>3.5234620050853835</v>
      </c>
      <c r="D29" s="8">
        <v>13.287143338454129</v>
      </c>
      <c r="E29" s="8">
        <v>27.099114398388835</v>
      </c>
      <c r="G29" s="18" t="s">
        <v>199</v>
      </c>
    </row>
    <row r="30" spans="1:65" x14ac:dyDescent="0.25">
      <c r="A30" s="22" t="s">
        <v>126</v>
      </c>
      <c r="B30" s="8">
        <v>15.655957424337906</v>
      </c>
      <c r="C30" s="8">
        <v>3.8408519743345808</v>
      </c>
      <c r="D30" s="8">
        <v>8.127887554642129</v>
      </c>
      <c r="E30" s="8">
        <v>23.184027294033683</v>
      </c>
      <c r="G30" s="18" t="s">
        <v>214</v>
      </c>
    </row>
    <row r="31" spans="1:65" x14ac:dyDescent="0.25">
      <c r="A31" s="22" t="s">
        <v>103</v>
      </c>
      <c r="B31" s="8">
        <v>4.5244352668573375</v>
      </c>
      <c r="C31" s="8">
        <v>1.4064306770163923</v>
      </c>
      <c r="D31" s="8">
        <v>1.7678311399052085</v>
      </c>
      <c r="E31" s="8">
        <v>7.2810393938094666</v>
      </c>
      <c r="G31" s="16" t="s">
        <v>201</v>
      </c>
    </row>
    <row r="32" spans="1:65" x14ac:dyDescent="0.25">
      <c r="A32" s="20" t="s">
        <v>11</v>
      </c>
      <c r="B32" s="8">
        <v>1.4511095645288996</v>
      </c>
      <c r="C32" s="8">
        <v>0.64949608616205268</v>
      </c>
      <c r="D32" s="8">
        <v>0.17809723565127644</v>
      </c>
      <c r="E32" s="8">
        <v>2.7241218934065228</v>
      </c>
      <c r="G32" s="16" t="s">
        <v>202</v>
      </c>
    </row>
    <row r="33" spans="1:7" x14ac:dyDescent="0.25">
      <c r="A33" s="21" t="s">
        <v>103</v>
      </c>
      <c r="B33" s="8">
        <v>0.21202585841937727</v>
      </c>
      <c r="C33" s="8">
        <v>0.2498585588808277</v>
      </c>
      <c r="D33" s="8">
        <v>0</v>
      </c>
      <c r="E33" s="8">
        <v>0.70174863382579955</v>
      </c>
      <c r="G33" s="16" t="s">
        <v>203</v>
      </c>
    </row>
    <row r="34" spans="1:7" x14ac:dyDescent="0.25">
      <c r="A34" s="21" t="s">
        <v>38</v>
      </c>
      <c r="B34" s="8">
        <v>0.75629392247160154</v>
      </c>
      <c r="C34" s="8">
        <v>0.62599676520985414</v>
      </c>
      <c r="D34" s="8">
        <v>0</v>
      </c>
      <c r="E34" s="8">
        <v>1.9832475822829156</v>
      </c>
      <c r="G34" s="16" t="s">
        <v>204</v>
      </c>
    </row>
    <row r="35" spans="1:7" x14ac:dyDescent="0.25">
      <c r="A35" s="21" t="s">
        <v>104</v>
      </c>
      <c r="B35" s="8">
        <v>0.45375501123014528</v>
      </c>
      <c r="C35" s="8">
        <v>0.42719486060674144</v>
      </c>
      <c r="D35" s="8">
        <v>0</v>
      </c>
      <c r="E35" s="8">
        <v>1.2910569380193584</v>
      </c>
      <c r="G35" s="16" t="s">
        <v>205</v>
      </c>
    </row>
    <row r="36" spans="1:7" x14ac:dyDescent="0.25">
      <c r="A36" s="22" t="s">
        <v>14</v>
      </c>
      <c r="B36" s="8">
        <v>6.5608582739509105E-2</v>
      </c>
      <c r="C36" s="8">
        <v>0.15932149549045133</v>
      </c>
      <c r="D36" s="8">
        <v>0</v>
      </c>
      <c r="E36" s="8">
        <v>0.37787871390079369</v>
      </c>
      <c r="G36" s="16" t="s">
        <v>206</v>
      </c>
    </row>
    <row r="37" spans="1:7" x14ac:dyDescent="0.25">
      <c r="A37" s="22" t="s">
        <v>15</v>
      </c>
      <c r="B37" s="8">
        <v>0.3937691928838043</v>
      </c>
      <c r="C37" s="8">
        <v>0.41070169174233878</v>
      </c>
      <c r="D37" s="8">
        <v>0</v>
      </c>
      <c r="E37" s="8">
        <v>1.1987445086987885</v>
      </c>
      <c r="G37" s="16" t="s">
        <v>207</v>
      </c>
    </row>
    <row r="38" spans="1:7" x14ac:dyDescent="0.25">
      <c r="A38" s="21" t="s">
        <v>105</v>
      </c>
      <c r="B38" s="8">
        <v>7.1570206343820206E-2</v>
      </c>
      <c r="C38" s="8">
        <v>0.10697516987953481</v>
      </c>
      <c r="D38" s="8">
        <v>0</v>
      </c>
      <c r="E38" s="8">
        <v>0.28124153930770845</v>
      </c>
      <c r="G38" s="16" t="s">
        <v>208</v>
      </c>
    </row>
    <row r="39" spans="1:7" x14ac:dyDescent="0.25">
      <c r="A39" s="22" t="s">
        <v>17</v>
      </c>
      <c r="B39" s="8">
        <v>3.5306975616850075E-2</v>
      </c>
      <c r="C39" s="8">
        <v>6.2217674827120137E-2</v>
      </c>
      <c r="D39" s="8">
        <v>0</v>
      </c>
      <c r="E39" s="8">
        <v>0.15725361827800555</v>
      </c>
      <c r="G39" s="16" t="s">
        <v>209</v>
      </c>
    </row>
    <row r="40" spans="1:7" x14ac:dyDescent="0.25">
      <c r="A40" s="22" t="s">
        <v>18</v>
      </c>
      <c r="B40" s="8">
        <v>4.0987053823904863E-2</v>
      </c>
      <c r="C40" s="8">
        <v>8.8322251952575245E-2</v>
      </c>
      <c r="D40" s="8">
        <v>0</v>
      </c>
      <c r="E40" s="8">
        <v>0.21409866765095234</v>
      </c>
      <c r="G40" s="16" t="s">
        <v>210</v>
      </c>
    </row>
    <row r="41" spans="1:7" x14ac:dyDescent="0.25">
      <c r="A41" s="20" t="s">
        <v>41</v>
      </c>
      <c r="B41" s="8">
        <v>0.95343796209220033</v>
      </c>
      <c r="C41" s="8">
        <v>0.67682897034072487</v>
      </c>
      <c r="D41" s="8">
        <v>0</v>
      </c>
      <c r="E41" s="8">
        <v>2.2800227439600209</v>
      </c>
      <c r="G41" s="16" t="s">
        <v>211</v>
      </c>
    </row>
    <row r="42" spans="1:7" x14ac:dyDescent="0.25">
      <c r="A42" s="20" t="s">
        <v>106</v>
      </c>
      <c r="B42" s="8">
        <v>0.45299296233457753</v>
      </c>
      <c r="C42" s="8">
        <v>0.41678337697296686</v>
      </c>
      <c r="D42" s="8">
        <v>0</v>
      </c>
      <c r="E42" s="8">
        <v>1.2698883812015924</v>
      </c>
      <c r="G42" s="16" t="s">
        <v>212</v>
      </c>
    </row>
    <row r="43" spans="1:7" x14ac:dyDescent="0.25">
      <c r="A43" s="20" t="s">
        <v>22</v>
      </c>
      <c r="B43" s="8">
        <v>1.254501057411088</v>
      </c>
      <c r="C43" s="8">
        <v>0.59548112567612677</v>
      </c>
      <c r="D43" s="8">
        <v>8.7358051085879573E-2</v>
      </c>
      <c r="E43" s="8">
        <v>2.4216440637362964</v>
      </c>
      <c r="G43" s="19" t="s">
        <v>213</v>
      </c>
    </row>
    <row r="44" spans="1:7" x14ac:dyDescent="0.25">
      <c r="A44" s="20" t="s">
        <v>42</v>
      </c>
      <c r="B44" s="8">
        <v>99.488705430542765</v>
      </c>
      <c r="C44" s="8">
        <v>0.43292757333403686</v>
      </c>
      <c r="D44" s="8">
        <v>98.640167386808059</v>
      </c>
      <c r="E44" s="8">
        <v>100</v>
      </c>
    </row>
    <row r="45" spans="1:7" x14ac:dyDescent="0.25">
      <c r="A45" s="20" t="s">
        <v>21</v>
      </c>
      <c r="B45" s="8">
        <v>0.51129456945723661</v>
      </c>
      <c r="C45" s="8">
        <v>0.43393327900946954</v>
      </c>
      <c r="D45" s="8">
        <v>0</v>
      </c>
      <c r="E45" s="8">
        <v>1.361803796315797</v>
      </c>
    </row>
    <row r="49" spans="1:5" x14ac:dyDescent="0.25">
      <c r="A49" s="5" t="s">
        <v>108</v>
      </c>
    </row>
    <row r="50" spans="1:5" x14ac:dyDescent="0.25">
      <c r="A50" t="s">
        <v>64</v>
      </c>
      <c r="B50" s="7" t="s">
        <v>65</v>
      </c>
      <c r="C50" s="7" t="s">
        <v>34</v>
      </c>
      <c r="D50" s="14" t="s">
        <v>111</v>
      </c>
      <c r="E50" s="14"/>
    </row>
    <row r="51" spans="1:5" x14ac:dyDescent="0.25">
      <c r="A51" s="20" t="s">
        <v>9</v>
      </c>
      <c r="B51" s="8">
        <v>11.92791120071954</v>
      </c>
      <c r="C51" s="8">
        <v>1.0908129402565072</v>
      </c>
      <c r="D51" s="8">
        <v>9.7899178378167875</v>
      </c>
      <c r="E51" s="8">
        <v>14.065904563622293</v>
      </c>
    </row>
    <row r="52" spans="1:5" x14ac:dyDescent="0.25">
      <c r="A52" s="21" t="s">
        <v>10</v>
      </c>
      <c r="B52" s="8">
        <v>5.1877444778273816</v>
      </c>
      <c r="C52" s="8">
        <v>0.76579906918057883</v>
      </c>
      <c r="D52" s="8">
        <v>3.686778302233447</v>
      </c>
      <c r="E52" s="8">
        <v>6.6887106534213157</v>
      </c>
    </row>
    <row r="53" spans="1:5" x14ac:dyDescent="0.25">
      <c r="A53" s="21" t="s">
        <v>101</v>
      </c>
      <c r="B53" s="8">
        <v>6.7578615792164332</v>
      </c>
      <c r="C53" s="8">
        <v>1.1828779395654843</v>
      </c>
      <c r="D53" s="8">
        <v>4.4394208176680845</v>
      </c>
      <c r="E53" s="8">
        <v>9.0763023407647818</v>
      </c>
    </row>
    <row r="54" spans="1:5" x14ac:dyDescent="0.25">
      <c r="A54" s="22" t="s">
        <v>126</v>
      </c>
      <c r="B54" s="8">
        <v>3.0756285897060867</v>
      </c>
      <c r="C54" s="8">
        <v>1.1477527396682379</v>
      </c>
      <c r="D54" s="8">
        <v>0.82603321995634049</v>
      </c>
      <c r="E54" s="8">
        <v>5.3252239594558333</v>
      </c>
    </row>
    <row r="55" spans="1:5" x14ac:dyDescent="0.25">
      <c r="A55" s="22" t="s">
        <v>103</v>
      </c>
      <c r="B55" s="8">
        <v>3.6894700305367301</v>
      </c>
      <c r="C55" s="8">
        <v>0.71089751128695655</v>
      </c>
      <c r="D55" s="8">
        <v>2.2961109084142954</v>
      </c>
      <c r="E55" s="8">
        <v>5.0828291526591647</v>
      </c>
    </row>
    <row r="56" spans="1:5" x14ac:dyDescent="0.25">
      <c r="A56" s="20" t="s">
        <v>11</v>
      </c>
      <c r="B56" s="8">
        <v>88.072088799280465</v>
      </c>
      <c r="C56" s="8">
        <v>1.0908129402565072</v>
      </c>
      <c r="D56" s="8">
        <v>85.934095436377717</v>
      </c>
      <c r="E56" s="8">
        <v>90.210082162183213</v>
      </c>
    </row>
    <row r="57" spans="1:5" x14ac:dyDescent="0.25">
      <c r="A57" s="21" t="s">
        <v>103</v>
      </c>
      <c r="B57" s="8">
        <v>32.476551194267735</v>
      </c>
      <c r="C57" s="8">
        <v>2.3745796009060252</v>
      </c>
      <c r="D57" s="8">
        <v>27.822375176491924</v>
      </c>
      <c r="E57" s="8">
        <v>37.130727212043546</v>
      </c>
    </row>
    <row r="58" spans="1:5" x14ac:dyDescent="0.25">
      <c r="A58" s="21" t="s">
        <v>38</v>
      </c>
      <c r="B58" s="8">
        <v>33.155354273091859</v>
      </c>
      <c r="C58" s="8">
        <v>3.1376606464167671</v>
      </c>
      <c r="D58" s="8">
        <v>27.005539406114995</v>
      </c>
      <c r="E58" s="8">
        <v>39.30516914006872</v>
      </c>
    </row>
    <row r="59" spans="1:5" x14ac:dyDescent="0.25">
      <c r="A59" s="21" t="s">
        <v>104</v>
      </c>
      <c r="B59" s="8">
        <v>9.7588128598727675</v>
      </c>
      <c r="C59" s="8">
        <v>2.738084973203768</v>
      </c>
      <c r="D59" s="8">
        <v>4.3921663123933827</v>
      </c>
      <c r="E59" s="8">
        <v>15.125459407352153</v>
      </c>
    </row>
    <row r="60" spans="1:5" x14ac:dyDescent="0.25">
      <c r="A60" s="22" t="s">
        <v>14</v>
      </c>
      <c r="B60" s="8">
        <v>4.2259585132412401</v>
      </c>
      <c r="C60" s="8">
        <v>2.2682283696665682</v>
      </c>
      <c r="D60" s="8">
        <v>0</v>
      </c>
      <c r="E60" s="8">
        <v>8.6716861177877131</v>
      </c>
    </row>
    <row r="61" spans="1:5" x14ac:dyDescent="0.25">
      <c r="A61" s="22" t="s">
        <v>15</v>
      </c>
      <c r="B61" s="8">
        <v>5.5405083121690373</v>
      </c>
      <c r="C61" s="8">
        <v>2.2209115841122715</v>
      </c>
      <c r="D61" s="8">
        <v>1.1875216073089856</v>
      </c>
      <c r="E61" s="8">
        <v>9.893495017029089</v>
      </c>
    </row>
    <row r="62" spans="1:5" x14ac:dyDescent="0.25">
      <c r="A62" s="21" t="s">
        <v>105</v>
      </c>
      <c r="B62" s="8">
        <v>12.656757473297448</v>
      </c>
      <c r="C62" s="8">
        <v>1.4551377473737777</v>
      </c>
      <c r="D62" s="8">
        <v>9.8046874884448449</v>
      </c>
      <c r="E62" s="8">
        <v>15.508827458150051</v>
      </c>
    </row>
    <row r="63" spans="1:5" x14ac:dyDescent="0.25">
      <c r="A63" s="22" t="s">
        <v>17</v>
      </c>
      <c r="B63" s="8">
        <v>12.414708546730491</v>
      </c>
      <c r="C63" s="8">
        <v>1.4403746943395541</v>
      </c>
      <c r="D63" s="8">
        <v>9.5915741458249641</v>
      </c>
      <c r="E63" s="8">
        <v>15.237842947636018</v>
      </c>
    </row>
    <row r="64" spans="1:5" x14ac:dyDescent="0.25">
      <c r="A64" s="22" t="s">
        <v>18</v>
      </c>
      <c r="B64" s="8">
        <v>0.24523507814614434</v>
      </c>
      <c r="C64" s="8">
        <v>0.22614170855578705</v>
      </c>
      <c r="D64" s="8">
        <v>0</v>
      </c>
      <c r="E64" s="8">
        <v>0.68847282691548695</v>
      </c>
    </row>
    <row r="65" spans="1:5" x14ac:dyDescent="0.25">
      <c r="A65" s="20" t="s">
        <v>41</v>
      </c>
      <c r="B65" s="8">
        <v>65.55507645773929</v>
      </c>
      <c r="C65" s="8">
        <v>3.0488438362992207</v>
      </c>
      <c r="D65" s="8">
        <v>59.579342538592819</v>
      </c>
      <c r="E65" s="8">
        <v>71.530810376885768</v>
      </c>
    </row>
    <row r="66" spans="1:5" x14ac:dyDescent="0.25">
      <c r="A66" s="20" t="s">
        <v>106</v>
      </c>
      <c r="B66" s="8">
        <v>18.200514488407251</v>
      </c>
      <c r="C66" s="8">
        <v>2.5446359838875767</v>
      </c>
      <c r="D66" s="8">
        <v>13.213027959987601</v>
      </c>
      <c r="E66" s="8">
        <v>23.188001016826902</v>
      </c>
    </row>
    <row r="67" spans="1:5" x14ac:dyDescent="0.25">
      <c r="A67" s="20" t="s">
        <v>22</v>
      </c>
      <c r="B67" s="8">
        <v>55.592137644379683</v>
      </c>
      <c r="C67" s="8">
        <v>2.4279650272200017</v>
      </c>
      <c r="D67" s="8">
        <v>50.833326191028476</v>
      </c>
      <c r="E67" s="8">
        <v>60.35094909773089</v>
      </c>
    </row>
    <row r="68" spans="1:5" x14ac:dyDescent="0.25">
      <c r="A68" s="20" t="s">
        <v>42</v>
      </c>
      <c r="B68" s="8">
        <v>77.56832115509215</v>
      </c>
      <c r="C68" s="8">
        <v>2.918618418972045</v>
      </c>
      <c r="D68" s="8">
        <v>71.847829053906935</v>
      </c>
      <c r="E68" s="8">
        <v>83.288813256277365</v>
      </c>
    </row>
    <row r="69" spans="1:5" x14ac:dyDescent="0.25">
      <c r="A69" s="20" t="s">
        <v>21</v>
      </c>
      <c r="B69" s="8">
        <v>22.431678844907854</v>
      </c>
      <c r="C69" s="8">
        <v>2.9186097715020698</v>
      </c>
      <c r="D69" s="8">
        <v>16.711203692763796</v>
      </c>
      <c r="E69" s="8">
        <v>28.152153997051911</v>
      </c>
    </row>
  </sheetData>
  <mergeCells count="13">
    <mergeCell ref="BL2:BM2"/>
    <mergeCell ref="AB2:AC2"/>
    <mergeCell ref="AH2:AI2"/>
    <mergeCell ref="AN2:AO2"/>
    <mergeCell ref="AT2:AU2"/>
    <mergeCell ref="AZ2:BA2"/>
    <mergeCell ref="BF2:BG2"/>
    <mergeCell ref="D2:E2"/>
    <mergeCell ref="D26:E26"/>
    <mergeCell ref="D50:E50"/>
    <mergeCell ref="J2:K2"/>
    <mergeCell ref="P2:Q2"/>
    <mergeCell ref="V2:W2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05D54-5082-489A-9DB6-E094B7199560}">
  <dimension ref="A1:CE69"/>
  <sheetViews>
    <sheetView workbookViewId="0"/>
  </sheetViews>
  <sheetFormatPr defaultRowHeight="15" x14ac:dyDescent="0.25"/>
  <cols>
    <col min="1" max="1" width="22.140625" customWidth="1"/>
    <col min="80" max="82" width="9.28515625" bestFit="1" customWidth="1"/>
    <col min="83" max="83" width="9.5703125" bestFit="1" customWidth="1"/>
  </cols>
  <sheetData>
    <row r="1" spans="1:83" x14ac:dyDescent="0.25">
      <c r="A1" s="5" t="s">
        <v>164</v>
      </c>
      <c r="G1" s="12" t="s">
        <v>235</v>
      </c>
      <c r="I1" s="12" t="s">
        <v>110</v>
      </c>
      <c r="M1" s="12" t="s">
        <v>236</v>
      </c>
      <c r="O1" s="12" t="s">
        <v>110</v>
      </c>
      <c r="S1" s="12" t="s">
        <v>237</v>
      </c>
      <c r="U1" s="12" t="s">
        <v>110</v>
      </c>
      <c r="Y1" s="12" t="s">
        <v>238</v>
      </c>
      <c r="AA1" s="12" t="s">
        <v>110</v>
      </c>
      <c r="AE1" s="12" t="s">
        <v>134</v>
      </c>
      <c r="AG1" s="12" t="s">
        <v>110</v>
      </c>
      <c r="AK1" s="12" t="s">
        <v>239</v>
      </c>
      <c r="AM1" s="12" t="s">
        <v>110</v>
      </c>
      <c r="AQ1" s="12" t="s">
        <v>240</v>
      </c>
      <c r="AS1" s="12" t="s">
        <v>241</v>
      </c>
      <c r="AW1" s="12" t="s">
        <v>242</v>
      </c>
      <c r="AY1" s="12" t="s">
        <v>243</v>
      </c>
      <c r="BC1" s="12" t="s">
        <v>244</v>
      </c>
      <c r="BE1" s="12" t="s">
        <v>110</v>
      </c>
      <c r="BI1" s="12" t="s">
        <v>245</v>
      </c>
      <c r="BK1" s="12" t="s">
        <v>246</v>
      </c>
      <c r="BO1" s="12" t="s">
        <v>247</v>
      </c>
      <c r="BQ1" s="12" t="s">
        <v>110</v>
      </c>
      <c r="BU1" s="12" t="s">
        <v>248</v>
      </c>
      <c r="BW1" s="12" t="s">
        <v>249</v>
      </c>
      <c r="CA1" t="s">
        <v>250</v>
      </c>
      <c r="CC1" t="s">
        <v>246</v>
      </c>
    </row>
    <row r="2" spans="1:83" x14ac:dyDescent="0.25">
      <c r="A2" t="s">
        <v>64</v>
      </c>
      <c r="B2" s="7" t="s">
        <v>65</v>
      </c>
      <c r="C2" s="7" t="s">
        <v>34</v>
      </c>
      <c r="D2" s="14" t="s">
        <v>111</v>
      </c>
      <c r="E2" s="14"/>
      <c r="G2" t="s">
        <v>64</v>
      </c>
      <c r="H2" s="7" t="s">
        <v>65</v>
      </c>
      <c r="I2" s="7" t="s">
        <v>34</v>
      </c>
      <c r="J2" s="14" t="s">
        <v>111</v>
      </c>
      <c r="K2" s="14"/>
      <c r="M2" t="s">
        <v>64</v>
      </c>
      <c r="N2" s="7" t="s">
        <v>65</v>
      </c>
      <c r="O2" s="7" t="s">
        <v>34</v>
      </c>
      <c r="P2" s="14" t="s">
        <v>111</v>
      </c>
      <c r="Q2" s="14"/>
      <c r="S2" t="s">
        <v>64</v>
      </c>
      <c r="T2" s="7" t="s">
        <v>65</v>
      </c>
      <c r="U2" s="7" t="s">
        <v>34</v>
      </c>
      <c r="V2" s="14" t="s">
        <v>111</v>
      </c>
      <c r="W2" s="14"/>
      <c r="Y2" t="s">
        <v>64</v>
      </c>
      <c r="Z2" s="7" t="s">
        <v>65</v>
      </c>
      <c r="AA2" s="7" t="s">
        <v>34</v>
      </c>
      <c r="AB2" s="14" t="s">
        <v>111</v>
      </c>
      <c r="AC2" s="14"/>
      <c r="AE2" t="s">
        <v>64</v>
      </c>
      <c r="AF2" s="7" t="s">
        <v>65</v>
      </c>
      <c r="AG2" s="7" t="s">
        <v>34</v>
      </c>
      <c r="AH2" s="14" t="s">
        <v>111</v>
      </c>
      <c r="AI2" s="14"/>
      <c r="AK2" t="s">
        <v>64</v>
      </c>
      <c r="AL2" s="7" t="s">
        <v>65</v>
      </c>
      <c r="AM2" s="7" t="s">
        <v>34</v>
      </c>
      <c r="AN2" s="14" t="s">
        <v>111</v>
      </c>
      <c r="AO2" s="14"/>
      <c r="AQ2" t="s">
        <v>64</v>
      </c>
      <c r="AR2" s="7" t="s">
        <v>65</v>
      </c>
      <c r="AS2" s="7" t="s">
        <v>34</v>
      </c>
      <c r="AT2" s="14" t="s">
        <v>111</v>
      </c>
      <c r="AU2" s="14"/>
      <c r="AW2" t="s">
        <v>64</v>
      </c>
      <c r="AX2" s="7" t="s">
        <v>65</v>
      </c>
      <c r="AY2" s="7" t="s">
        <v>34</v>
      </c>
      <c r="AZ2" s="14" t="s">
        <v>111</v>
      </c>
      <c r="BA2" s="14"/>
      <c r="BC2" t="s">
        <v>64</v>
      </c>
      <c r="BD2" s="7" t="s">
        <v>65</v>
      </c>
      <c r="BE2" s="7" t="s">
        <v>34</v>
      </c>
      <c r="BF2" s="14" t="s">
        <v>111</v>
      </c>
      <c r="BG2" s="14"/>
      <c r="BI2" t="s">
        <v>64</v>
      </c>
      <c r="BJ2" s="7" t="s">
        <v>65</v>
      </c>
      <c r="BK2" s="7" t="s">
        <v>34</v>
      </c>
      <c r="BL2" s="14" t="s">
        <v>111</v>
      </c>
      <c r="BM2" s="14"/>
      <c r="BO2" t="s">
        <v>64</v>
      </c>
      <c r="BP2" s="7" t="s">
        <v>65</v>
      </c>
      <c r="BQ2" s="7" t="s">
        <v>34</v>
      </c>
      <c r="BR2" s="14" t="s">
        <v>111</v>
      </c>
      <c r="BS2" s="14"/>
      <c r="BU2" t="s">
        <v>64</v>
      </c>
      <c r="BV2" s="7" t="s">
        <v>65</v>
      </c>
      <c r="BW2" s="7" t="s">
        <v>34</v>
      </c>
      <c r="BX2" s="14" t="s">
        <v>111</v>
      </c>
      <c r="BY2" s="14"/>
      <c r="CA2" t="s">
        <v>64</v>
      </c>
      <c r="CB2" t="s">
        <v>65</v>
      </c>
      <c r="CC2" t="s">
        <v>34</v>
      </c>
      <c r="CD2" t="s">
        <v>111</v>
      </c>
    </row>
    <row r="3" spans="1:83" x14ac:dyDescent="0.25">
      <c r="A3" s="20" t="s">
        <v>9</v>
      </c>
      <c r="B3" s="8">
        <v>69.269198138045951</v>
      </c>
      <c r="C3" s="8">
        <v>0.47476835503232545</v>
      </c>
      <c r="D3" s="8">
        <v>68.338652162182598</v>
      </c>
      <c r="E3" s="8">
        <v>70.199744113909304</v>
      </c>
      <c r="G3" s="20" t="s">
        <v>9</v>
      </c>
      <c r="H3" s="8">
        <v>99.391999999999996</v>
      </c>
      <c r="I3" s="8">
        <v>0.70599999999999996</v>
      </c>
      <c r="J3" s="8">
        <v>97.4</v>
      </c>
      <c r="K3" s="8">
        <v>100</v>
      </c>
      <c r="M3" s="20" t="s">
        <v>9</v>
      </c>
      <c r="N3" s="8">
        <v>99.072999999999993</v>
      </c>
      <c r="O3" s="8">
        <v>1.0309999999999999</v>
      </c>
      <c r="P3" s="8">
        <v>96.3</v>
      </c>
      <c r="Q3" s="8">
        <v>100</v>
      </c>
      <c r="S3" s="20" t="s">
        <v>9</v>
      </c>
      <c r="T3" s="8">
        <v>99.198999999999998</v>
      </c>
      <c r="U3" s="8">
        <v>0.86399999999999999</v>
      </c>
      <c r="V3" s="8">
        <v>96.9</v>
      </c>
      <c r="W3" s="8">
        <v>100</v>
      </c>
      <c r="Y3" s="20" t="s">
        <v>9</v>
      </c>
      <c r="Z3" s="8">
        <v>98.932000000000002</v>
      </c>
      <c r="AA3" s="8">
        <v>1.036</v>
      </c>
      <c r="AB3" s="8">
        <v>96.2</v>
      </c>
      <c r="AC3" s="8">
        <v>100</v>
      </c>
      <c r="AE3" s="20" t="s">
        <v>9</v>
      </c>
      <c r="AF3" s="8">
        <v>82.25</v>
      </c>
      <c r="AG3" s="8">
        <v>3.323</v>
      </c>
      <c r="AH3" s="8">
        <v>75.3</v>
      </c>
      <c r="AI3" s="8">
        <v>88.4</v>
      </c>
      <c r="AK3" s="20" t="s">
        <v>9</v>
      </c>
      <c r="AL3" s="8">
        <v>34.862000000000002</v>
      </c>
      <c r="AM3" s="8">
        <v>4.7789999999999999</v>
      </c>
      <c r="AN3" s="8">
        <v>25.3</v>
      </c>
      <c r="AO3" s="8">
        <v>44</v>
      </c>
      <c r="AQ3" s="20" t="s">
        <v>9</v>
      </c>
      <c r="AR3" s="8">
        <v>6.2089999999999996</v>
      </c>
      <c r="AS3" s="8">
        <v>2.0390000000000001</v>
      </c>
      <c r="AT3" s="8">
        <v>2.7</v>
      </c>
      <c r="AU3" s="8">
        <v>10.7</v>
      </c>
      <c r="AW3" s="20" t="s">
        <v>9</v>
      </c>
      <c r="AX3" s="8">
        <v>3.657</v>
      </c>
      <c r="AY3" s="8">
        <v>1.657</v>
      </c>
      <c r="AZ3" s="8">
        <v>1.2</v>
      </c>
      <c r="BA3" s="8">
        <v>7.5</v>
      </c>
      <c r="BC3" s="20" t="s">
        <v>9</v>
      </c>
      <c r="BD3" s="8">
        <v>1.1240000000000001</v>
      </c>
      <c r="BE3" s="8">
        <v>1.302</v>
      </c>
      <c r="BF3" s="8">
        <v>0</v>
      </c>
      <c r="BG3" s="8">
        <v>4.7</v>
      </c>
      <c r="BI3" s="20" t="s">
        <v>9</v>
      </c>
      <c r="BJ3" s="8">
        <f>SUM('[1]Fall 4'!BJ57,'[1]Fall 5'!BJ58)</f>
        <v>0</v>
      </c>
      <c r="BK3" s="8">
        <f>SQRT(SUM('[1]Fall 4'!BK57^2,'[1]Fall 5'!BK58^2))</f>
        <v>0</v>
      </c>
      <c r="BL3" s="8">
        <f>IF(BJ3-1.96*BK3&gt;0,BJ3-1.96*BK3,0)</f>
        <v>0</v>
      </c>
      <c r="BM3" s="8">
        <f t="shared" ref="BM3:BM7" si="0">IF(BJ3+1.96*BK3&gt;100,100,BJ3+1.96*BK3)</f>
        <v>0</v>
      </c>
      <c r="BO3" s="20" t="s">
        <v>9</v>
      </c>
      <c r="BP3" s="8">
        <v>2.0579999999999998</v>
      </c>
      <c r="BQ3" s="8">
        <v>1.3129999999999999</v>
      </c>
      <c r="BR3" s="8">
        <v>0.4</v>
      </c>
      <c r="BS3" s="8">
        <v>5.5</v>
      </c>
      <c r="BU3" s="20" t="s">
        <v>9</v>
      </c>
      <c r="BV3" s="8">
        <v>2.6840000000000002</v>
      </c>
      <c r="BW3" s="8">
        <v>1.8120000000000001</v>
      </c>
      <c r="BX3" s="8">
        <v>0.2</v>
      </c>
      <c r="BY3" s="8">
        <v>7</v>
      </c>
      <c r="CA3" t="s">
        <v>9</v>
      </c>
      <c r="CB3" s="11">
        <v>2.1703282028810866</v>
      </c>
      <c r="CC3" s="11">
        <v>1.1253902901101049</v>
      </c>
      <c r="CD3" s="11">
        <v>0</v>
      </c>
      <c r="CE3" s="11">
        <v>4.3760931714968923</v>
      </c>
    </row>
    <row r="4" spans="1:83" x14ac:dyDescent="0.25">
      <c r="A4" s="21" t="s">
        <v>10</v>
      </c>
      <c r="B4" s="8">
        <v>44.286153143711466</v>
      </c>
      <c r="C4" s="8">
        <v>2.3034479553827976</v>
      </c>
      <c r="D4" s="8">
        <v>39.771395151161187</v>
      </c>
      <c r="E4" s="8">
        <v>48.800911136261746</v>
      </c>
      <c r="G4" s="21" t="s">
        <v>10</v>
      </c>
      <c r="H4" s="8">
        <v>73.915000000000006</v>
      </c>
      <c r="I4" s="8">
        <v>5.5010000000000003</v>
      </c>
      <c r="J4" s="8">
        <v>62.9</v>
      </c>
      <c r="K4" s="8">
        <v>84.001999999999995</v>
      </c>
      <c r="M4" s="21" t="s">
        <v>10</v>
      </c>
      <c r="N4" s="8">
        <v>78.75</v>
      </c>
      <c r="O4" s="8">
        <v>5.1109999999999998</v>
      </c>
      <c r="P4" s="8">
        <v>68.298000000000002</v>
      </c>
      <c r="Q4" s="8">
        <v>88.2</v>
      </c>
      <c r="S4" s="21" t="s">
        <v>10</v>
      </c>
      <c r="T4" s="8">
        <v>56.703000000000003</v>
      </c>
      <c r="U4" s="8">
        <v>6.5869999999999997</v>
      </c>
      <c r="V4" s="8">
        <v>44.1</v>
      </c>
      <c r="W4" s="8">
        <v>69.802000000000007</v>
      </c>
      <c r="Y4" s="21" t="s">
        <v>10</v>
      </c>
      <c r="Z4" s="8">
        <v>65.284000000000006</v>
      </c>
      <c r="AA4" s="8">
        <v>7.3479999999999999</v>
      </c>
      <c r="AB4" s="8">
        <v>51.6</v>
      </c>
      <c r="AC4" s="8">
        <v>80.5</v>
      </c>
      <c r="AE4" s="21" t="s">
        <v>10</v>
      </c>
      <c r="AF4" s="8">
        <v>28.74</v>
      </c>
      <c r="AG4" s="8">
        <v>5.2380000000000004</v>
      </c>
      <c r="AH4" s="8">
        <v>19.297999999999998</v>
      </c>
      <c r="AI4" s="8">
        <v>40.1</v>
      </c>
      <c r="AK4" s="21" t="s">
        <v>10</v>
      </c>
      <c r="AL4" s="8">
        <v>12.666</v>
      </c>
      <c r="AM4" s="8">
        <v>2.3679999999999999</v>
      </c>
      <c r="AN4" s="8">
        <v>8.4</v>
      </c>
      <c r="AO4" s="8">
        <v>17.5</v>
      </c>
      <c r="AQ4" s="21" t="s">
        <v>10</v>
      </c>
      <c r="AR4" s="8">
        <v>2.8010000000000002</v>
      </c>
      <c r="AS4" s="8">
        <v>1.5980000000000001</v>
      </c>
      <c r="AT4" s="8">
        <v>0.2</v>
      </c>
      <c r="AU4" s="8">
        <v>6.3</v>
      </c>
      <c r="AW4" s="21" t="s">
        <v>10</v>
      </c>
      <c r="AX4" s="8">
        <v>2.1080000000000001</v>
      </c>
      <c r="AY4" s="8">
        <v>1.298</v>
      </c>
      <c r="AZ4" s="8">
        <v>0</v>
      </c>
      <c r="BA4" s="8">
        <v>4.9000000000000004</v>
      </c>
      <c r="BC4" s="21" t="s">
        <v>10</v>
      </c>
      <c r="BD4" s="8">
        <v>0.35199999999999998</v>
      </c>
      <c r="BE4" s="8">
        <v>0.47399999999999998</v>
      </c>
      <c r="BF4" s="8">
        <v>0</v>
      </c>
      <c r="BG4" s="8">
        <v>1.7</v>
      </c>
      <c r="BI4" s="21" t="s">
        <v>10</v>
      </c>
      <c r="BJ4" s="8">
        <f>SUM('[1]Fall 4'!BJ58,'[1]Fall 5'!BJ59)</f>
        <v>0</v>
      </c>
      <c r="BK4" s="8">
        <f>SQRT(SUM('[1]Fall 4'!BK58^2,'[1]Fall 5'!BK59^2))</f>
        <v>0</v>
      </c>
      <c r="BL4" s="8">
        <f t="shared" ref="BL4:BL21" si="1">IF(BJ4-1.96*BK4&gt;0,BJ4-1.96*BK4,0)</f>
        <v>0</v>
      </c>
      <c r="BM4" s="8">
        <f t="shared" si="0"/>
        <v>0</v>
      </c>
      <c r="BO4" s="21" t="s">
        <v>10</v>
      </c>
      <c r="BP4" s="8">
        <v>1.329</v>
      </c>
      <c r="BQ4" s="8">
        <v>0.81899999999999995</v>
      </c>
      <c r="BR4" s="8">
        <v>0.1</v>
      </c>
      <c r="BS4" s="8">
        <v>3.3</v>
      </c>
      <c r="BU4" s="21" t="s">
        <v>10</v>
      </c>
      <c r="BV4" s="8">
        <v>0.45100000000000001</v>
      </c>
      <c r="BW4" s="8">
        <v>0.625</v>
      </c>
      <c r="BX4" s="8">
        <v>0</v>
      </c>
      <c r="BY4" s="8">
        <v>2.2000000000000002</v>
      </c>
      <c r="CA4" t="s">
        <v>10</v>
      </c>
      <c r="CB4" s="11">
        <v>1.1714534151284437</v>
      </c>
      <c r="CC4" s="11">
        <v>0.68133358536432076</v>
      </c>
      <c r="CD4" s="11">
        <v>0</v>
      </c>
      <c r="CE4" s="11">
        <v>2.5068672424425125</v>
      </c>
    </row>
    <row r="5" spans="1:83" x14ac:dyDescent="0.25">
      <c r="A5" s="21" t="s">
        <v>101</v>
      </c>
      <c r="B5" s="8">
        <v>24.959893246025189</v>
      </c>
      <c r="C5" s="8">
        <v>2.3511649523385523</v>
      </c>
      <c r="D5" s="8">
        <v>20.351609939441627</v>
      </c>
      <c r="E5" s="8">
        <v>29.568176552608751</v>
      </c>
      <c r="G5" s="21" t="s">
        <v>101</v>
      </c>
      <c r="H5" s="8">
        <v>25.428000000000001</v>
      </c>
      <c r="I5" s="8">
        <v>5.5259999999999998</v>
      </c>
      <c r="J5" s="8">
        <v>15.1</v>
      </c>
      <c r="K5" s="8">
        <v>36.6</v>
      </c>
      <c r="M5" s="21" t="s">
        <v>101</v>
      </c>
      <c r="N5" s="8">
        <v>20.271999999999998</v>
      </c>
      <c r="O5" s="8">
        <v>5.1779999999999999</v>
      </c>
      <c r="P5" s="8">
        <v>10.7</v>
      </c>
      <c r="Q5" s="8">
        <v>31</v>
      </c>
      <c r="S5" s="21" t="s">
        <v>101</v>
      </c>
      <c r="T5" s="8">
        <v>42.469000000000001</v>
      </c>
      <c r="U5" s="8">
        <v>6.6829999999999998</v>
      </c>
      <c r="V5" s="8">
        <v>29.2</v>
      </c>
      <c r="W5" s="8">
        <v>55.302</v>
      </c>
      <c r="Y5" s="21" t="s">
        <v>101</v>
      </c>
      <c r="Z5" s="8">
        <v>33.616999999999997</v>
      </c>
      <c r="AA5" s="8">
        <v>7.4550000000000001</v>
      </c>
      <c r="AB5" s="8">
        <v>18.3</v>
      </c>
      <c r="AC5" s="8">
        <v>47.2</v>
      </c>
      <c r="AE5" s="21" t="s">
        <v>101</v>
      </c>
      <c r="AF5" s="8">
        <v>53.506999999999998</v>
      </c>
      <c r="AG5" s="8">
        <v>5.9029999999999996</v>
      </c>
      <c r="AH5" s="8">
        <v>41.4</v>
      </c>
      <c r="AI5" s="8">
        <v>64.7</v>
      </c>
      <c r="AK5" s="21" t="s">
        <v>101</v>
      </c>
      <c r="AL5" s="8">
        <v>22.192</v>
      </c>
      <c r="AM5" s="8">
        <v>4.8179999999999996</v>
      </c>
      <c r="AN5" s="8">
        <v>12.7</v>
      </c>
      <c r="AO5" s="8">
        <v>31.6</v>
      </c>
      <c r="AQ5" s="21" t="s">
        <v>101</v>
      </c>
      <c r="AR5" s="8">
        <v>3.4020000000000001</v>
      </c>
      <c r="AS5" s="8">
        <v>2.0979999999999999</v>
      </c>
      <c r="AT5" s="8">
        <v>0</v>
      </c>
      <c r="AU5" s="8">
        <v>7.9</v>
      </c>
      <c r="AW5" s="21" t="s">
        <v>101</v>
      </c>
      <c r="AX5" s="8">
        <v>1.55</v>
      </c>
      <c r="AY5" s="8">
        <v>1.732</v>
      </c>
      <c r="AZ5" s="8">
        <v>0</v>
      </c>
      <c r="BA5" s="8">
        <v>6.1</v>
      </c>
      <c r="BC5" s="21" t="s">
        <v>101</v>
      </c>
      <c r="BD5" s="8">
        <v>0.78300000000000003</v>
      </c>
      <c r="BE5" s="8">
        <v>1.2190000000000001</v>
      </c>
      <c r="BF5" s="8">
        <v>0</v>
      </c>
      <c r="BG5" s="8">
        <v>4.3</v>
      </c>
      <c r="BI5" s="21" t="s">
        <v>101</v>
      </c>
      <c r="BJ5" s="8">
        <f>SUM('[1]Fall 4'!BJ59,'[1]Fall 5'!BJ60)</f>
        <v>0</v>
      </c>
      <c r="BK5" s="8">
        <f>SQRT(SUM('[1]Fall 4'!BK59^2,'[1]Fall 5'!BK60^2))</f>
        <v>0</v>
      </c>
      <c r="BL5" s="8">
        <f t="shared" si="1"/>
        <v>0</v>
      </c>
      <c r="BM5" s="8">
        <f t="shared" si="0"/>
        <v>0</v>
      </c>
      <c r="BO5" s="21" t="s">
        <v>101</v>
      </c>
      <c r="BP5" s="8">
        <v>0.73299999999999998</v>
      </c>
      <c r="BQ5" s="8">
        <v>1.113</v>
      </c>
      <c r="BR5" s="8">
        <v>0</v>
      </c>
      <c r="BS5" s="8">
        <v>4</v>
      </c>
      <c r="BU5" s="21" t="s">
        <v>101</v>
      </c>
      <c r="BV5" s="8">
        <v>2.2349999999999999</v>
      </c>
      <c r="BW5" s="8">
        <v>1.8160000000000001</v>
      </c>
      <c r="BX5" s="8">
        <v>0</v>
      </c>
      <c r="BY5" s="8">
        <v>6.6</v>
      </c>
      <c r="CA5" t="s">
        <v>101</v>
      </c>
      <c r="CB5" s="11">
        <v>1.0025159117050992</v>
      </c>
      <c r="CC5" s="11">
        <v>0.9696776521395466</v>
      </c>
      <c r="CD5" s="11">
        <v>0</v>
      </c>
      <c r="CE5" s="11">
        <v>2.9030841098986104</v>
      </c>
    </row>
    <row r="6" spans="1:83" x14ac:dyDescent="0.25">
      <c r="A6" s="22" t="s">
        <v>126</v>
      </c>
      <c r="B6" s="8">
        <v>18.579469064253487</v>
      </c>
      <c r="C6" s="8">
        <v>2.5861542824816701</v>
      </c>
      <c r="D6" s="8">
        <v>13.510606670589414</v>
      </c>
      <c r="E6" s="8">
        <v>23.648331457917561</v>
      </c>
      <c r="G6" s="22" t="s">
        <v>126</v>
      </c>
      <c r="H6" s="8">
        <v>25.282</v>
      </c>
      <c r="I6" s="8">
        <v>5.54</v>
      </c>
      <c r="J6" s="8">
        <v>15</v>
      </c>
      <c r="K6" s="8">
        <v>36.5</v>
      </c>
      <c r="M6" s="22" t="s">
        <v>126</v>
      </c>
      <c r="N6" s="8">
        <v>20.111999999999998</v>
      </c>
      <c r="O6" s="8">
        <v>5.2060000000000004</v>
      </c>
      <c r="P6" s="8">
        <v>10.5</v>
      </c>
      <c r="Q6" s="8">
        <v>31</v>
      </c>
      <c r="S6" s="22" t="s">
        <v>126</v>
      </c>
      <c r="T6" s="8">
        <v>32.518000000000001</v>
      </c>
      <c r="U6" s="8">
        <v>7.4960000000000004</v>
      </c>
      <c r="V6" s="8">
        <v>17.600000000000001</v>
      </c>
      <c r="W6" s="8">
        <v>46.8</v>
      </c>
      <c r="Y6" s="22" t="s">
        <v>126</v>
      </c>
      <c r="Z6" s="8">
        <v>17.202999999999999</v>
      </c>
      <c r="AA6" s="8">
        <v>8.2870000000000008</v>
      </c>
      <c r="AB6" s="8">
        <v>0.1</v>
      </c>
      <c r="AC6" s="8">
        <v>32.700000000000003</v>
      </c>
      <c r="AE6" s="22" t="s">
        <v>126</v>
      </c>
      <c r="AF6" s="8">
        <v>16.666</v>
      </c>
      <c r="AG6" s="8">
        <v>6.5759999999999996</v>
      </c>
      <c r="AH6" s="8">
        <v>3</v>
      </c>
      <c r="AI6" s="8">
        <v>29.5</v>
      </c>
      <c r="AK6" s="22" t="s">
        <v>126</v>
      </c>
      <c r="AL6" s="8">
        <v>12.339</v>
      </c>
      <c r="AM6" s="8">
        <v>5.8689999999999998</v>
      </c>
      <c r="AN6" s="8">
        <v>0.2</v>
      </c>
      <c r="AO6" s="8">
        <v>23.5</v>
      </c>
      <c r="AQ6" s="22" t="s">
        <v>126</v>
      </c>
      <c r="AR6" s="8">
        <v>2.024</v>
      </c>
      <c r="AS6" s="8">
        <v>2.1560000000000001</v>
      </c>
      <c r="AT6" s="8">
        <v>0</v>
      </c>
      <c r="AU6" s="8">
        <v>7.1</v>
      </c>
      <c r="AW6" s="22" t="s">
        <v>126</v>
      </c>
      <c r="AX6" s="8">
        <v>1.129</v>
      </c>
      <c r="AY6" s="8">
        <v>1.6120000000000001</v>
      </c>
      <c r="AZ6" s="8">
        <v>0</v>
      </c>
      <c r="BA6" s="8">
        <v>5.5</v>
      </c>
      <c r="BC6" s="22" t="s">
        <v>126</v>
      </c>
      <c r="BD6" s="8">
        <v>0.66200000000000003</v>
      </c>
      <c r="BE6" s="8">
        <v>1.1599999999999999</v>
      </c>
      <c r="BF6" s="8">
        <v>0</v>
      </c>
      <c r="BG6" s="8">
        <v>4.0999999999999996</v>
      </c>
      <c r="BI6" s="22" t="s">
        <v>126</v>
      </c>
      <c r="BJ6" s="8">
        <f>SUM('[1]Fall 4'!BJ60,'[1]Fall 5'!BJ61)</f>
        <v>0</v>
      </c>
      <c r="BK6" s="8">
        <f>SQRT(SUM('[1]Fall 4'!BK60^2,'[1]Fall 5'!BK61^2))</f>
        <v>0</v>
      </c>
      <c r="BL6" s="8">
        <f t="shared" si="1"/>
        <v>0</v>
      </c>
      <c r="BM6" s="8">
        <f t="shared" si="0"/>
        <v>0</v>
      </c>
      <c r="BO6" s="22" t="s">
        <v>126</v>
      </c>
      <c r="BP6" s="8">
        <v>0.55500000000000005</v>
      </c>
      <c r="BQ6" s="8">
        <v>0.998</v>
      </c>
      <c r="BR6" s="8">
        <v>0</v>
      </c>
      <c r="BS6" s="8">
        <v>3.6</v>
      </c>
      <c r="BU6" s="22" t="s">
        <v>126</v>
      </c>
      <c r="BV6" s="8">
        <v>2.1509999999999998</v>
      </c>
      <c r="BW6" s="8">
        <v>1.784</v>
      </c>
      <c r="BX6" s="8">
        <v>0</v>
      </c>
      <c r="BY6" s="8">
        <v>6.4</v>
      </c>
      <c r="CA6" t="s">
        <v>126</v>
      </c>
      <c r="CB6" s="11">
        <v>0.84138308593963962</v>
      </c>
      <c r="CC6" s="11">
        <v>0.87926476905685702</v>
      </c>
      <c r="CD6" s="11">
        <v>0</v>
      </c>
      <c r="CE6" s="11">
        <v>2.5647420332910791</v>
      </c>
    </row>
    <row r="7" spans="1:83" x14ac:dyDescent="0.25">
      <c r="A7" s="22" t="s">
        <v>103</v>
      </c>
      <c r="B7" s="8">
        <v>6.3719490069722848</v>
      </c>
      <c r="C7" s="8">
        <v>0.97388440473008409</v>
      </c>
      <c r="D7" s="8">
        <v>4.4631355737013205</v>
      </c>
      <c r="E7" s="8">
        <v>8.2807624402432491</v>
      </c>
      <c r="G7" s="22" t="s">
        <v>103</v>
      </c>
      <c r="H7" s="8">
        <v>0.13700000000000001</v>
      </c>
      <c r="I7" s="8">
        <v>0.442</v>
      </c>
      <c r="J7" s="8">
        <v>0</v>
      </c>
      <c r="K7" s="8">
        <v>1.5</v>
      </c>
      <c r="M7" s="22" t="s">
        <v>103</v>
      </c>
      <c r="N7" s="8">
        <v>0.157</v>
      </c>
      <c r="O7" s="8">
        <v>0.52100000000000002</v>
      </c>
      <c r="P7" s="8">
        <v>0</v>
      </c>
      <c r="Q7" s="8">
        <v>1.7</v>
      </c>
      <c r="S7" s="22" t="s">
        <v>103</v>
      </c>
      <c r="T7" s="8">
        <v>9.923</v>
      </c>
      <c r="U7" s="8">
        <v>2.9529999999999998</v>
      </c>
      <c r="V7" s="8">
        <v>4.5999999999999996</v>
      </c>
      <c r="W7" s="8">
        <v>16.100000000000001</v>
      </c>
      <c r="Y7" s="22" t="s">
        <v>103</v>
      </c>
      <c r="Z7" s="8">
        <v>16.393999999999998</v>
      </c>
      <c r="AA7" s="8">
        <v>3.3330000000000002</v>
      </c>
      <c r="AB7" s="8">
        <v>10</v>
      </c>
      <c r="AC7" s="8">
        <v>23</v>
      </c>
      <c r="AE7" s="22" t="s">
        <v>103</v>
      </c>
      <c r="AF7" s="8">
        <v>36.843000000000004</v>
      </c>
      <c r="AG7" s="8">
        <v>4.7329999999999997</v>
      </c>
      <c r="AH7" s="8">
        <v>27.5</v>
      </c>
      <c r="AI7" s="8">
        <v>46.2</v>
      </c>
      <c r="AK7" s="22" t="s">
        <v>103</v>
      </c>
      <c r="AL7" s="8">
        <v>9.8520000000000003</v>
      </c>
      <c r="AM7" s="8">
        <v>3.8439999999999999</v>
      </c>
      <c r="AN7" s="8">
        <v>3.1</v>
      </c>
      <c r="AO7" s="8">
        <v>18.100000000000001</v>
      </c>
      <c r="AQ7" s="22" t="s">
        <v>103</v>
      </c>
      <c r="AR7" s="8">
        <v>1.3859999999999999</v>
      </c>
      <c r="AS7" s="8">
        <v>1.766</v>
      </c>
      <c r="AT7" s="8">
        <v>0</v>
      </c>
      <c r="AU7" s="8">
        <v>5.9</v>
      </c>
      <c r="AW7" s="22" t="s">
        <v>103</v>
      </c>
      <c r="AX7" s="8">
        <v>0.43</v>
      </c>
      <c r="AY7" s="8">
        <v>0.82099999999999995</v>
      </c>
      <c r="AZ7" s="8">
        <v>0</v>
      </c>
      <c r="BA7" s="8">
        <v>2.9</v>
      </c>
      <c r="BC7" s="22" t="s">
        <v>103</v>
      </c>
      <c r="BD7" s="8">
        <v>0.13300000000000001</v>
      </c>
      <c r="BE7" s="8">
        <v>0.434</v>
      </c>
      <c r="BF7" s="8">
        <v>0</v>
      </c>
      <c r="BG7" s="8">
        <v>1.5</v>
      </c>
      <c r="BI7" s="22" t="s">
        <v>103</v>
      </c>
      <c r="BJ7" s="8">
        <f>SUM('[1]Fall 4'!BJ61,'[1]Fall 5'!BJ62)</f>
        <v>0</v>
      </c>
      <c r="BK7" s="8">
        <f>SQRT(SUM('[1]Fall 4'!BK61^2,'[1]Fall 5'!BK62^2))</f>
        <v>0</v>
      </c>
      <c r="BL7" s="8">
        <f t="shared" si="1"/>
        <v>0</v>
      </c>
      <c r="BM7" s="8">
        <f t="shared" si="0"/>
        <v>0</v>
      </c>
      <c r="BO7" s="22" t="s">
        <v>103</v>
      </c>
      <c r="BP7" s="8">
        <v>0.188</v>
      </c>
      <c r="BQ7" s="8">
        <v>0.53900000000000003</v>
      </c>
      <c r="BR7" s="8">
        <v>0</v>
      </c>
      <c r="BS7" s="8">
        <v>1.9</v>
      </c>
      <c r="BU7" s="22" t="s">
        <v>103</v>
      </c>
      <c r="BV7" s="8">
        <v>9.5000000000000001E-2</v>
      </c>
      <c r="BW7" s="8">
        <v>0.32600000000000001</v>
      </c>
      <c r="BX7" s="8">
        <v>0</v>
      </c>
      <c r="BY7" s="8">
        <v>1</v>
      </c>
      <c r="CA7" t="s">
        <v>103</v>
      </c>
      <c r="CB7" s="11">
        <v>0.17131226378923153</v>
      </c>
      <c r="CC7" s="11">
        <v>0.44613455743045277</v>
      </c>
      <c r="CD7" s="11">
        <v>0</v>
      </c>
      <c r="CE7" s="11">
        <v>1.0457359963529189</v>
      </c>
    </row>
    <row r="8" spans="1:83" x14ac:dyDescent="0.25">
      <c r="A8" s="20" t="s">
        <v>11</v>
      </c>
      <c r="B8" s="8">
        <v>30.730801861954042</v>
      </c>
      <c r="C8" s="8">
        <v>0.47475980064359186</v>
      </c>
      <c r="D8" s="8">
        <v>29.800272652692602</v>
      </c>
      <c r="E8" s="8">
        <v>31.661331071215482</v>
      </c>
      <c r="G8" s="20" t="s">
        <v>11</v>
      </c>
      <c r="H8" s="8">
        <v>0.60799999999999998</v>
      </c>
      <c r="I8" s="8">
        <v>0.70799999999999996</v>
      </c>
      <c r="J8" s="8">
        <v>0</v>
      </c>
      <c r="K8" s="8">
        <v>2.5</v>
      </c>
      <c r="M8" s="20" t="s">
        <v>11</v>
      </c>
      <c r="N8" s="8">
        <v>0.92700000000000005</v>
      </c>
      <c r="O8" s="8">
        <v>1.03</v>
      </c>
      <c r="P8" s="8">
        <v>0</v>
      </c>
      <c r="Q8" s="8">
        <v>3.6</v>
      </c>
      <c r="S8" s="20" t="s">
        <v>11</v>
      </c>
      <c r="T8" s="8">
        <v>0.80100000000000005</v>
      </c>
      <c r="U8" s="8">
        <v>0.86399999999999999</v>
      </c>
      <c r="V8" s="8">
        <v>0</v>
      </c>
      <c r="W8" s="8">
        <v>3.1</v>
      </c>
      <c r="Y8" s="20" t="s">
        <v>11</v>
      </c>
      <c r="Z8" s="8">
        <v>1.0680000000000001</v>
      </c>
      <c r="AA8" s="8">
        <v>1.036</v>
      </c>
      <c r="AB8" s="8">
        <v>0</v>
      </c>
      <c r="AC8" s="8">
        <v>3.8</v>
      </c>
      <c r="AE8" s="20" t="s">
        <v>11</v>
      </c>
      <c r="AF8" s="8">
        <v>17.75</v>
      </c>
      <c r="AG8" s="8">
        <v>3.323</v>
      </c>
      <c r="AH8" s="8">
        <v>11.6</v>
      </c>
      <c r="AI8" s="8">
        <v>24.7</v>
      </c>
      <c r="AK8" s="20" t="s">
        <v>11</v>
      </c>
      <c r="AL8" s="8">
        <v>65.138000000000005</v>
      </c>
      <c r="AM8" s="8">
        <v>4.7789999999999999</v>
      </c>
      <c r="AN8" s="8">
        <v>56</v>
      </c>
      <c r="AO8" s="8">
        <v>74.7</v>
      </c>
      <c r="AQ8" s="20" t="s">
        <v>11</v>
      </c>
      <c r="AR8" s="8">
        <v>93.790999999999997</v>
      </c>
      <c r="AS8" s="8">
        <v>2.0390000000000001</v>
      </c>
      <c r="AT8" s="8">
        <v>89.3</v>
      </c>
      <c r="AU8" s="8">
        <v>97.3</v>
      </c>
      <c r="AW8" s="20" t="s">
        <v>11</v>
      </c>
      <c r="AX8" s="8">
        <v>96.343000000000004</v>
      </c>
      <c r="AY8" s="8">
        <v>1.657</v>
      </c>
      <c r="AZ8" s="8">
        <v>92.498000000000005</v>
      </c>
      <c r="BA8" s="8">
        <v>98.8</v>
      </c>
      <c r="BC8" s="20" t="s">
        <v>11</v>
      </c>
      <c r="BD8" s="8">
        <v>98.876000000000005</v>
      </c>
      <c r="BE8" s="8">
        <v>1.3029999999999999</v>
      </c>
      <c r="BF8" s="8">
        <v>95.2</v>
      </c>
      <c r="BG8" s="8">
        <v>100</v>
      </c>
      <c r="BI8" s="20" t="s">
        <v>11</v>
      </c>
      <c r="BJ8" s="8">
        <f>SUM('[1]Fall 4'!BJ62,'[1]Fall 5'!BJ63)</f>
        <v>0</v>
      </c>
      <c r="BK8" s="8">
        <f>SQRT(SUM('[1]Fall 4'!BK62^2,'[1]Fall 5'!BK63^2))</f>
        <v>0</v>
      </c>
      <c r="BL8" s="8">
        <f t="shared" si="1"/>
        <v>0</v>
      </c>
      <c r="BM8" s="8">
        <f>IF(BJ8+1.96*BK8&gt;100,100,BJ8+1.96*BK8)</f>
        <v>0</v>
      </c>
      <c r="BO8" s="20" t="s">
        <v>11</v>
      </c>
      <c r="BP8" s="8">
        <v>97.941999999999993</v>
      </c>
      <c r="BQ8" s="8">
        <v>1.3129999999999999</v>
      </c>
      <c r="BR8" s="8">
        <v>94.5</v>
      </c>
      <c r="BS8" s="8">
        <v>99.6</v>
      </c>
      <c r="BU8" s="20" t="s">
        <v>11</v>
      </c>
      <c r="BV8" s="8">
        <v>97.316000000000003</v>
      </c>
      <c r="BW8" s="8">
        <v>1.8129999999999999</v>
      </c>
      <c r="BX8" s="8">
        <v>92.9</v>
      </c>
      <c r="BY8" s="8">
        <v>99.8</v>
      </c>
      <c r="CA8" t="s">
        <v>11</v>
      </c>
      <c r="CB8" s="11">
        <v>97.829671797118905</v>
      </c>
      <c r="CC8" s="11">
        <v>1.1254421454877039</v>
      </c>
      <c r="CD8" s="11">
        <v>95.623805191963001</v>
      </c>
      <c r="CE8" s="11">
        <v>100</v>
      </c>
    </row>
    <row r="9" spans="1:83" x14ac:dyDescent="0.25">
      <c r="A9" s="21" t="s">
        <v>103</v>
      </c>
      <c r="B9" s="8">
        <v>13.040437440258238</v>
      </c>
      <c r="C9" s="8">
        <v>0.57811937557250526</v>
      </c>
      <c r="D9" s="8">
        <v>11.907323464136127</v>
      </c>
      <c r="E9" s="8">
        <v>14.173551416380349</v>
      </c>
      <c r="G9" s="21" t="s">
        <v>103</v>
      </c>
      <c r="H9" s="8">
        <v>0.247</v>
      </c>
      <c r="I9" s="8">
        <v>0.46700000000000003</v>
      </c>
      <c r="J9" s="8">
        <v>0</v>
      </c>
      <c r="K9" s="8">
        <v>1.7</v>
      </c>
      <c r="M9" s="21" t="s">
        <v>103</v>
      </c>
      <c r="N9" s="8">
        <v>0.58799999999999997</v>
      </c>
      <c r="O9" s="8">
        <v>0.86299999999999999</v>
      </c>
      <c r="P9" s="8">
        <v>0</v>
      </c>
      <c r="Q9" s="8">
        <v>3.0019999999999998</v>
      </c>
      <c r="S9" s="21" t="s">
        <v>103</v>
      </c>
      <c r="T9" s="8">
        <v>0.254</v>
      </c>
      <c r="U9" s="8">
        <v>0.52100000000000002</v>
      </c>
      <c r="V9" s="8">
        <v>0</v>
      </c>
      <c r="W9" s="8">
        <v>1.8</v>
      </c>
      <c r="Y9" s="21" t="s">
        <v>103</v>
      </c>
      <c r="Z9" s="8">
        <v>0.40100000000000002</v>
      </c>
      <c r="AA9" s="8">
        <v>0.71199999999999997</v>
      </c>
      <c r="AB9" s="8">
        <v>0</v>
      </c>
      <c r="AC9" s="8">
        <v>2.5</v>
      </c>
      <c r="AE9" s="21" t="s">
        <v>103</v>
      </c>
      <c r="AF9" s="8">
        <v>0.32500000000000001</v>
      </c>
      <c r="AG9" s="8">
        <v>0.77400000000000002</v>
      </c>
      <c r="AH9" s="8">
        <v>0</v>
      </c>
      <c r="AI9" s="8">
        <v>2.7</v>
      </c>
      <c r="AK9" s="21" t="s">
        <v>103</v>
      </c>
      <c r="AL9" s="8">
        <v>11.673999999999999</v>
      </c>
      <c r="AM9" s="8">
        <v>3.097</v>
      </c>
      <c r="AN9" s="8">
        <v>6.1</v>
      </c>
      <c r="AO9" s="8">
        <v>18.2</v>
      </c>
      <c r="AQ9" s="21" t="s">
        <v>103</v>
      </c>
      <c r="AR9" s="8">
        <v>25.904</v>
      </c>
      <c r="AS9" s="8">
        <v>3.577</v>
      </c>
      <c r="AT9" s="8">
        <v>19.198</v>
      </c>
      <c r="AU9" s="8">
        <v>33.200000000000003</v>
      </c>
      <c r="AW9" s="21" t="s">
        <v>103</v>
      </c>
      <c r="AX9" s="8">
        <v>33.021999999999998</v>
      </c>
      <c r="AY9" s="8">
        <v>3.8090000000000002</v>
      </c>
      <c r="AZ9" s="8">
        <v>25.8</v>
      </c>
      <c r="BA9" s="8">
        <v>40.601999999999997</v>
      </c>
      <c r="BC9" s="21" t="s">
        <v>103</v>
      </c>
      <c r="BD9" s="8">
        <v>43.787999999999997</v>
      </c>
      <c r="BE9" s="8">
        <v>3.8380000000000001</v>
      </c>
      <c r="BF9" s="8">
        <v>36.200000000000003</v>
      </c>
      <c r="BG9" s="8">
        <v>51.4</v>
      </c>
      <c r="BI9" s="21" t="s">
        <v>103</v>
      </c>
      <c r="BJ9" s="8">
        <f>SUM('[1]Fall 4'!BJ63,'[1]Fall 5'!BJ64)</f>
        <v>0</v>
      </c>
      <c r="BK9" s="8">
        <f>SQRT(SUM('[1]Fall 4'!BK63^2,'[1]Fall 5'!BK64^2))</f>
        <v>0</v>
      </c>
      <c r="BL9" s="8">
        <f t="shared" si="1"/>
        <v>0</v>
      </c>
      <c r="BM9" s="8">
        <f t="shared" ref="BM9:BM21" si="2">IF(BJ9+1.96*BK9&gt;100,100,BJ9+1.96*BK9)</f>
        <v>0</v>
      </c>
      <c r="BO9" s="21" t="s">
        <v>103</v>
      </c>
      <c r="BP9" s="8">
        <v>59.146999999999998</v>
      </c>
      <c r="BQ9" s="8">
        <v>3.9689999999999999</v>
      </c>
      <c r="BR9" s="8">
        <v>51.3</v>
      </c>
      <c r="BS9" s="8">
        <v>66.900000000000006</v>
      </c>
      <c r="BU9" s="21" t="s">
        <v>103</v>
      </c>
      <c r="BV9" s="8">
        <v>61.12</v>
      </c>
      <c r="BW9" s="8">
        <v>4.1310000000000002</v>
      </c>
      <c r="BX9" s="8">
        <v>52.8</v>
      </c>
      <c r="BY9" s="8">
        <v>69.3</v>
      </c>
      <c r="CA9" t="s">
        <v>103</v>
      </c>
      <c r="CB9" s="11">
        <v>59.501031220901574</v>
      </c>
      <c r="CC9" s="11">
        <v>3.3401015935077387</v>
      </c>
      <c r="CD9" s="11">
        <v>52.954432097626409</v>
      </c>
      <c r="CE9" s="11">
        <v>66.047630344176739</v>
      </c>
    </row>
    <row r="10" spans="1:83" x14ac:dyDescent="0.25">
      <c r="A10" s="21" t="s">
        <v>38</v>
      </c>
      <c r="B10" s="8">
        <v>8.4926666891159819</v>
      </c>
      <c r="C10" s="8">
        <v>0.68785426495034441</v>
      </c>
      <c r="D10" s="8">
        <v>7.1444723298133068</v>
      </c>
      <c r="E10" s="8">
        <v>9.8408610484186561</v>
      </c>
      <c r="G10" s="21" t="s">
        <v>38</v>
      </c>
      <c r="H10" s="8">
        <v>0.157</v>
      </c>
      <c r="I10" s="8">
        <v>0.375</v>
      </c>
      <c r="J10" s="8">
        <v>0</v>
      </c>
      <c r="K10" s="8">
        <v>1.3</v>
      </c>
      <c r="M10" s="21" t="s">
        <v>38</v>
      </c>
      <c r="N10" s="8">
        <v>0.125</v>
      </c>
      <c r="O10" s="8">
        <v>0.31</v>
      </c>
      <c r="P10" s="8">
        <v>0</v>
      </c>
      <c r="Q10" s="8">
        <v>1.1000000000000001</v>
      </c>
      <c r="S10" s="21" t="s">
        <v>38</v>
      </c>
      <c r="T10" s="8">
        <v>0.26900000000000002</v>
      </c>
      <c r="U10" s="8">
        <v>0.54600000000000004</v>
      </c>
      <c r="V10" s="8">
        <v>0</v>
      </c>
      <c r="W10" s="8">
        <v>2</v>
      </c>
      <c r="Y10" s="21" t="s">
        <v>38</v>
      </c>
      <c r="Z10" s="8">
        <v>0.17499999999999999</v>
      </c>
      <c r="AA10" s="8">
        <v>0.434</v>
      </c>
      <c r="AB10" s="8">
        <v>0</v>
      </c>
      <c r="AC10" s="8">
        <v>1.4</v>
      </c>
      <c r="AE10" s="21" t="s">
        <v>38</v>
      </c>
      <c r="AF10" s="8">
        <v>7.8609999999999998</v>
      </c>
      <c r="AG10" s="8">
        <v>3.5539999999999998</v>
      </c>
      <c r="AH10" s="8">
        <v>1.7</v>
      </c>
      <c r="AI10" s="8">
        <v>15.5</v>
      </c>
      <c r="AK10" s="21" t="s">
        <v>38</v>
      </c>
      <c r="AL10" s="8">
        <v>27.35</v>
      </c>
      <c r="AM10" s="8">
        <v>5.1749999999999998</v>
      </c>
      <c r="AN10" s="8">
        <v>17.5</v>
      </c>
      <c r="AO10" s="8">
        <v>37.700000000000003</v>
      </c>
      <c r="AQ10" s="21" t="s">
        <v>38</v>
      </c>
      <c r="AR10" s="8">
        <v>40.831000000000003</v>
      </c>
      <c r="AS10" s="8">
        <v>4.5279999999999996</v>
      </c>
      <c r="AT10" s="8">
        <v>31.9</v>
      </c>
      <c r="AU10" s="8">
        <v>49.701999999999998</v>
      </c>
      <c r="AW10" s="21" t="s">
        <v>38</v>
      </c>
      <c r="AX10" s="8">
        <v>35.450000000000003</v>
      </c>
      <c r="AY10" s="8">
        <v>5.1589999999999998</v>
      </c>
      <c r="AZ10" s="8">
        <v>25.4</v>
      </c>
      <c r="BA10" s="8">
        <v>45.6</v>
      </c>
      <c r="BC10" s="21" t="s">
        <v>38</v>
      </c>
      <c r="BD10" s="8">
        <v>23.135000000000002</v>
      </c>
      <c r="BE10" s="8">
        <v>4.6529999999999996</v>
      </c>
      <c r="BF10" s="8">
        <v>14.5</v>
      </c>
      <c r="BG10" s="8">
        <v>32.700000000000003</v>
      </c>
      <c r="BI10" s="21" t="s">
        <v>38</v>
      </c>
      <c r="BJ10" s="8">
        <f>SUM('[1]Fall 4'!BJ64,'[1]Fall 5'!BJ65)</f>
        <v>0</v>
      </c>
      <c r="BK10" s="8">
        <f>SQRT(SUM('[1]Fall 4'!BK64^2,'[1]Fall 5'!BK65^2))</f>
        <v>0</v>
      </c>
      <c r="BL10" s="8">
        <f t="shared" si="1"/>
        <v>0</v>
      </c>
      <c r="BM10" s="8">
        <f t="shared" si="2"/>
        <v>0</v>
      </c>
      <c r="BO10" s="21" t="s">
        <v>38</v>
      </c>
      <c r="BP10" s="8">
        <v>14.167</v>
      </c>
      <c r="BQ10" s="8">
        <v>4.1870000000000003</v>
      </c>
      <c r="BR10" s="8">
        <v>6.1</v>
      </c>
      <c r="BS10" s="8">
        <v>22.5</v>
      </c>
      <c r="BU10" s="21" t="s">
        <v>38</v>
      </c>
      <c r="BV10" s="8">
        <v>13.968999999999999</v>
      </c>
      <c r="BW10" s="8">
        <v>4.3230000000000004</v>
      </c>
      <c r="BX10" s="8">
        <v>5.9</v>
      </c>
      <c r="BY10" s="8">
        <v>22.6</v>
      </c>
      <c r="CA10" t="s">
        <v>38</v>
      </c>
      <c r="CB10" s="11">
        <v>14.131471271293201</v>
      </c>
      <c r="CC10" s="11">
        <v>3.5221745060602614</v>
      </c>
      <c r="CD10" s="11">
        <v>7.2280092394150888</v>
      </c>
      <c r="CE10" s="11">
        <v>21.034933303171314</v>
      </c>
    </row>
    <row r="11" spans="1:83" x14ac:dyDescent="0.25">
      <c r="A11" s="21" t="s">
        <v>104</v>
      </c>
      <c r="B11" s="8">
        <v>3.2788144099394536</v>
      </c>
      <c r="C11" s="8">
        <v>0.57265638963771304</v>
      </c>
      <c r="D11" s="8">
        <v>2.1564078862495362</v>
      </c>
      <c r="E11" s="8">
        <v>4.4012209336293715</v>
      </c>
      <c r="G11" s="21" t="s">
        <v>104</v>
      </c>
      <c r="H11" s="8">
        <v>0.21099999999999999</v>
      </c>
      <c r="I11" s="8">
        <v>0.42199999999999999</v>
      </c>
      <c r="J11" s="8">
        <v>0</v>
      </c>
      <c r="K11" s="8">
        <v>1.5</v>
      </c>
      <c r="M11" s="21" t="s">
        <v>104</v>
      </c>
      <c r="N11" s="8">
        <v>0.17799999999999999</v>
      </c>
      <c r="O11" s="8">
        <v>0.38500000000000001</v>
      </c>
      <c r="P11" s="8">
        <v>0</v>
      </c>
      <c r="Q11" s="8">
        <v>1.4</v>
      </c>
      <c r="S11" s="21" t="s">
        <v>104</v>
      </c>
      <c r="T11" s="8">
        <v>0.27600000000000002</v>
      </c>
      <c r="U11" s="8">
        <v>0.49199999999999999</v>
      </c>
      <c r="V11" s="8">
        <v>0</v>
      </c>
      <c r="W11" s="8">
        <v>1.8</v>
      </c>
      <c r="Y11" s="21" t="s">
        <v>104</v>
      </c>
      <c r="Z11" s="8">
        <v>0.377</v>
      </c>
      <c r="AA11" s="8">
        <v>0.65800000000000003</v>
      </c>
      <c r="AB11" s="8">
        <v>0</v>
      </c>
      <c r="AC11" s="8">
        <v>2.4</v>
      </c>
      <c r="AE11" s="21" t="s">
        <v>104</v>
      </c>
      <c r="AF11" s="8">
        <v>7.8760000000000003</v>
      </c>
      <c r="AG11" s="8">
        <v>2.9860000000000002</v>
      </c>
      <c r="AH11" s="8">
        <v>2.5</v>
      </c>
      <c r="AI11" s="23">
        <v>14.102</v>
      </c>
      <c r="AK11" s="21" t="s">
        <v>104</v>
      </c>
      <c r="AL11" s="8">
        <v>8.4939999999999998</v>
      </c>
      <c r="AM11" s="8">
        <v>3.6309999999999998</v>
      </c>
      <c r="AN11" s="8">
        <v>1.7</v>
      </c>
      <c r="AO11" s="8">
        <v>16.102</v>
      </c>
      <c r="AQ11" s="21" t="s">
        <v>104</v>
      </c>
      <c r="AR11" s="8">
        <v>4.4569999999999999</v>
      </c>
      <c r="AS11" s="8">
        <v>3.2229999999999999</v>
      </c>
      <c r="AT11" s="8">
        <v>0</v>
      </c>
      <c r="AU11" s="8">
        <v>11.7</v>
      </c>
      <c r="AW11" s="21" t="s">
        <v>104</v>
      </c>
      <c r="AX11" s="8">
        <v>5.67</v>
      </c>
      <c r="AY11" s="8">
        <v>3.927</v>
      </c>
      <c r="AZ11" s="8">
        <v>0</v>
      </c>
      <c r="BA11" s="8">
        <v>13.8</v>
      </c>
      <c r="BC11" s="21" t="s">
        <v>104</v>
      </c>
      <c r="BD11" s="8">
        <v>16.898</v>
      </c>
      <c r="BE11" s="8">
        <v>4.5490000000000004</v>
      </c>
      <c r="BF11" s="8">
        <v>8.1</v>
      </c>
      <c r="BG11" s="8">
        <v>26.2</v>
      </c>
      <c r="BI11" s="21" t="s">
        <v>104</v>
      </c>
      <c r="BJ11" s="8">
        <f>SUM('[1]Fall 4'!BJ65,'[1]Fall 5'!BJ66)</f>
        <v>0</v>
      </c>
      <c r="BK11" s="8">
        <f>SQRT(SUM('[1]Fall 4'!BK65^2,'[1]Fall 5'!BK66^2))</f>
        <v>0</v>
      </c>
      <c r="BL11" s="8">
        <f>IF(BJ11-1.96*BK11&gt;0,BJ11-1.96*BK11,0)</f>
        <v>0</v>
      </c>
      <c r="BM11" s="8">
        <f t="shared" si="2"/>
        <v>0</v>
      </c>
      <c r="BO11" s="21" t="s">
        <v>104</v>
      </c>
      <c r="BP11" s="8">
        <v>8.3580000000000005</v>
      </c>
      <c r="BQ11" s="8">
        <v>3.5249999999999999</v>
      </c>
      <c r="BR11" s="8">
        <v>2.1</v>
      </c>
      <c r="BS11" s="8">
        <v>15.9</v>
      </c>
      <c r="BU11" s="21" t="s">
        <v>104</v>
      </c>
      <c r="BV11" s="8">
        <v>3.806</v>
      </c>
      <c r="BW11" s="8">
        <v>3.7109999999999999</v>
      </c>
      <c r="BX11" s="8">
        <v>0</v>
      </c>
      <c r="BY11" s="8">
        <v>12.4</v>
      </c>
      <c r="CA11" t="s">
        <v>104</v>
      </c>
      <c r="CB11" s="11">
        <v>7.5411981157912038</v>
      </c>
      <c r="CC11" s="11">
        <v>2.9681411073711494</v>
      </c>
      <c r="CD11" s="11">
        <v>1.7236415453437512</v>
      </c>
      <c r="CE11" s="11">
        <v>13.358754686238656</v>
      </c>
    </row>
    <row r="12" spans="1:83" x14ac:dyDescent="0.25">
      <c r="A12" s="22" t="s">
        <v>14</v>
      </c>
      <c r="B12" s="8">
        <v>0.62111384677673132</v>
      </c>
      <c r="C12" s="8">
        <v>0.29933135946417744</v>
      </c>
      <c r="D12" s="8">
        <v>3.4424382226943551E-2</v>
      </c>
      <c r="E12" s="8">
        <v>1.207803311326519</v>
      </c>
      <c r="G12" s="22" t="s">
        <v>14</v>
      </c>
      <c r="H12" s="8">
        <v>2.8000000000000001E-2</v>
      </c>
      <c r="I12" s="8">
        <v>0.126</v>
      </c>
      <c r="J12" s="8">
        <v>0</v>
      </c>
      <c r="K12" s="8">
        <v>0.3</v>
      </c>
      <c r="M12" s="22" t="s">
        <v>14</v>
      </c>
      <c r="N12" s="8">
        <v>0.03</v>
      </c>
      <c r="O12" s="8">
        <v>0.128</v>
      </c>
      <c r="P12" s="8">
        <v>0</v>
      </c>
      <c r="Q12" s="8">
        <v>0.3</v>
      </c>
      <c r="S12" s="22" t="s">
        <v>14</v>
      </c>
      <c r="T12" s="8">
        <v>0.159</v>
      </c>
      <c r="U12" s="8">
        <v>0.39300000000000002</v>
      </c>
      <c r="V12" s="8">
        <v>0</v>
      </c>
      <c r="W12" s="8">
        <v>1.4</v>
      </c>
      <c r="Y12" s="22" t="s">
        <v>14</v>
      </c>
      <c r="Z12" s="8">
        <v>3.9E-2</v>
      </c>
      <c r="AA12" s="8">
        <v>0.16800000000000001</v>
      </c>
      <c r="AB12" s="8">
        <v>0</v>
      </c>
      <c r="AC12" s="8">
        <v>0.4</v>
      </c>
      <c r="AE12" s="22" t="s">
        <v>14</v>
      </c>
      <c r="AF12" s="8">
        <v>6.4580000000000002</v>
      </c>
      <c r="AG12" s="8">
        <v>2.859</v>
      </c>
      <c r="AH12" s="8">
        <v>0</v>
      </c>
      <c r="AI12" s="8">
        <v>12.1</v>
      </c>
      <c r="AK12" s="22" t="s">
        <v>14</v>
      </c>
      <c r="AL12" s="8">
        <v>0.73299999999999998</v>
      </c>
      <c r="AM12" s="8">
        <v>1.784</v>
      </c>
      <c r="AN12" s="8">
        <v>0</v>
      </c>
      <c r="AO12" s="8">
        <v>6.6</v>
      </c>
      <c r="AQ12" s="22" t="s">
        <v>14</v>
      </c>
      <c r="AR12" s="8">
        <v>2.8679999999999999</v>
      </c>
      <c r="AS12" s="8">
        <v>2.9689999999999999</v>
      </c>
      <c r="AT12" s="8">
        <v>0</v>
      </c>
      <c r="AU12" s="8">
        <v>9.9019999999999992</v>
      </c>
      <c r="AW12" s="22" t="s">
        <v>14</v>
      </c>
      <c r="AX12" s="8">
        <v>0.11799999999999999</v>
      </c>
      <c r="AY12" s="8">
        <v>0.55800000000000005</v>
      </c>
      <c r="AZ12" s="8">
        <v>0</v>
      </c>
      <c r="BA12" s="8">
        <v>1.4</v>
      </c>
      <c r="BC12" s="22" t="s">
        <v>14</v>
      </c>
      <c r="BD12" s="8">
        <v>8.7999999999999995E-2</v>
      </c>
      <c r="BE12" s="8">
        <v>0.41599999999999998</v>
      </c>
      <c r="BF12" s="8">
        <v>0</v>
      </c>
      <c r="BG12" s="8">
        <v>1.1000000000000001</v>
      </c>
      <c r="BI12" s="22" t="s">
        <v>14</v>
      </c>
      <c r="BJ12" s="8">
        <f>SUM('[1]Fall 4'!BJ66,'[1]Fall 5'!BJ67)</f>
        <v>0</v>
      </c>
      <c r="BK12" s="8">
        <f>SQRT(SUM('[1]Fall 4'!BK66^2,'[1]Fall 5'!BK67^2))</f>
        <v>0</v>
      </c>
      <c r="BL12" s="8">
        <f t="shared" si="1"/>
        <v>0</v>
      </c>
      <c r="BM12" s="8">
        <f t="shared" si="2"/>
        <v>0</v>
      </c>
      <c r="BO12" s="22" t="s">
        <v>14</v>
      </c>
      <c r="BP12" s="8">
        <v>0.59899999999999998</v>
      </c>
      <c r="BQ12" s="8">
        <v>1.7150000000000001</v>
      </c>
      <c r="BR12" s="8">
        <v>0</v>
      </c>
      <c r="BS12" s="8">
        <v>6.4</v>
      </c>
      <c r="BU12" s="22" t="s">
        <v>14</v>
      </c>
      <c r="BV12" s="8">
        <v>1.3779999999999999</v>
      </c>
      <c r="BW12" s="8">
        <v>2.5059999999999998</v>
      </c>
      <c r="BX12" s="8">
        <v>0</v>
      </c>
      <c r="BY12" s="8">
        <v>8.4</v>
      </c>
      <c r="CA12" t="s">
        <v>14</v>
      </c>
      <c r="CB12" s="11">
        <v>0.73878222051815734</v>
      </c>
      <c r="CC12" s="11">
        <v>1.4773611606800923</v>
      </c>
      <c r="CD12" s="11">
        <v>0</v>
      </c>
      <c r="CE12" s="11">
        <v>3.6344100954511385</v>
      </c>
    </row>
    <row r="13" spans="1:83" x14ac:dyDescent="0.25">
      <c r="A13" s="22" t="s">
        <v>15</v>
      </c>
      <c r="B13" s="8">
        <v>2.6636622788102491</v>
      </c>
      <c r="C13" s="8">
        <v>0.52967661595294724</v>
      </c>
      <c r="D13" s="8">
        <v>1.6254961115424724</v>
      </c>
      <c r="E13" s="8">
        <v>3.701828446078026</v>
      </c>
      <c r="G13" s="22" t="s">
        <v>15</v>
      </c>
      <c r="H13" s="8">
        <v>0.189</v>
      </c>
      <c r="I13" s="8">
        <v>0.40699999999999997</v>
      </c>
      <c r="J13" s="8">
        <v>0</v>
      </c>
      <c r="K13" s="8">
        <v>1.5</v>
      </c>
      <c r="M13" s="22" t="s">
        <v>15</v>
      </c>
      <c r="N13" s="8">
        <v>0.155</v>
      </c>
      <c r="O13" s="8">
        <v>0.36499999999999999</v>
      </c>
      <c r="P13" s="8">
        <v>0</v>
      </c>
      <c r="Q13" s="8">
        <v>1.3</v>
      </c>
      <c r="S13" s="22" t="s">
        <v>15</v>
      </c>
      <c r="T13" s="8">
        <v>0.124</v>
      </c>
      <c r="U13" s="8">
        <v>0.30199999999999999</v>
      </c>
      <c r="V13" s="8">
        <v>0</v>
      </c>
      <c r="W13" s="8">
        <v>1.1000000000000001</v>
      </c>
      <c r="Y13" s="22" t="s">
        <v>15</v>
      </c>
      <c r="Z13" s="8">
        <v>0.34399999999999997</v>
      </c>
      <c r="AA13" s="8">
        <v>0.64400000000000002</v>
      </c>
      <c r="AB13" s="8">
        <v>0</v>
      </c>
      <c r="AC13" s="8">
        <v>2.2999999999999998</v>
      </c>
      <c r="AE13" s="22" t="s">
        <v>15</v>
      </c>
      <c r="AF13" s="8">
        <v>1.423</v>
      </c>
      <c r="AG13" s="8">
        <v>2.1749999999999998</v>
      </c>
      <c r="AH13" s="8">
        <v>0</v>
      </c>
      <c r="AI13" s="8">
        <v>7.3</v>
      </c>
      <c r="AK13" s="22" t="s">
        <v>15</v>
      </c>
      <c r="AL13" s="8">
        <v>7.7649999999999997</v>
      </c>
      <c r="AM13" s="8">
        <v>3.532</v>
      </c>
      <c r="AN13" s="8">
        <v>0.7</v>
      </c>
      <c r="AO13" s="8">
        <v>15.2</v>
      </c>
      <c r="AQ13" s="22" t="s">
        <v>15</v>
      </c>
      <c r="AR13" s="8">
        <v>1.595</v>
      </c>
      <c r="AS13" s="8">
        <v>2.0830000000000002</v>
      </c>
      <c r="AT13" s="8">
        <v>0</v>
      </c>
      <c r="AU13" s="8">
        <v>7.1</v>
      </c>
      <c r="AW13" s="22" t="s">
        <v>15</v>
      </c>
      <c r="AX13" s="8">
        <v>5.5570000000000004</v>
      </c>
      <c r="AY13" s="8">
        <v>3.9209999999999998</v>
      </c>
      <c r="AZ13" s="8">
        <v>0</v>
      </c>
      <c r="BA13" s="8">
        <v>13.7</v>
      </c>
      <c r="BC13" s="22" t="s">
        <v>15</v>
      </c>
      <c r="BD13" s="8">
        <v>16.814</v>
      </c>
      <c r="BE13" s="8">
        <v>4.532</v>
      </c>
      <c r="BF13" s="8">
        <v>8.1</v>
      </c>
      <c r="BG13" s="8">
        <v>26.001999999999999</v>
      </c>
      <c r="BI13" s="22" t="s">
        <v>15</v>
      </c>
      <c r="BJ13" s="8">
        <f>SUM('[1]Fall 4'!BJ67,'[1]Fall 5'!BJ68)</f>
        <v>0</v>
      </c>
      <c r="BK13" s="8">
        <f>SQRT(SUM('[1]Fall 4'!BK67^2,'[1]Fall 5'!BK68^2))</f>
        <v>0</v>
      </c>
      <c r="BL13" s="8">
        <f t="shared" si="1"/>
        <v>0</v>
      </c>
      <c r="BM13" s="8">
        <f t="shared" si="2"/>
        <v>0</v>
      </c>
      <c r="BO13" s="22" t="s">
        <v>15</v>
      </c>
      <c r="BP13" s="8">
        <v>7.7629999999999999</v>
      </c>
      <c r="BQ13" s="8">
        <v>3.4180000000000001</v>
      </c>
      <c r="BR13" s="8">
        <v>1.2</v>
      </c>
      <c r="BS13" s="8">
        <v>14.8</v>
      </c>
      <c r="BU13" s="22" t="s">
        <v>15</v>
      </c>
      <c r="BV13" s="8">
        <v>2.4340000000000002</v>
      </c>
      <c r="BW13" s="8">
        <v>3.0430000000000001</v>
      </c>
      <c r="BX13" s="8">
        <v>0</v>
      </c>
      <c r="BY13" s="8">
        <v>10.1</v>
      </c>
      <c r="CA13" t="s">
        <v>15</v>
      </c>
      <c r="CB13" s="11">
        <v>6.8067747713205895</v>
      </c>
      <c r="CC13" s="11">
        <v>2.8573384894721912</v>
      </c>
      <c r="CD13" s="11">
        <v>1.2063913319550945</v>
      </c>
      <c r="CE13" s="11">
        <v>12.407158210686084</v>
      </c>
    </row>
    <row r="14" spans="1:83" x14ac:dyDescent="0.25">
      <c r="A14" s="21" t="s">
        <v>105</v>
      </c>
      <c r="B14" s="8">
        <v>5.9406176141262126</v>
      </c>
      <c r="C14" s="8">
        <v>0.36100276077453908</v>
      </c>
      <c r="D14" s="8">
        <v>5.2330522030081159</v>
      </c>
      <c r="E14" s="8">
        <v>6.6481830252443093</v>
      </c>
      <c r="G14" s="21" t="s">
        <v>105</v>
      </c>
      <c r="H14" s="8">
        <v>4.2000000000000003E-2</v>
      </c>
      <c r="I14" s="8">
        <v>0.104</v>
      </c>
      <c r="J14" s="8">
        <v>0</v>
      </c>
      <c r="K14" s="8">
        <v>0.3</v>
      </c>
      <c r="M14" s="21" t="s">
        <v>105</v>
      </c>
      <c r="N14" s="8">
        <v>7.9000000000000001E-2</v>
      </c>
      <c r="O14" s="8">
        <v>0.21</v>
      </c>
      <c r="P14" s="8">
        <v>0</v>
      </c>
      <c r="Q14" s="8">
        <v>0.7</v>
      </c>
      <c r="S14" s="21" t="s">
        <v>105</v>
      </c>
      <c r="T14" s="8">
        <v>4.4999999999999998E-2</v>
      </c>
      <c r="U14" s="8">
        <v>0.114</v>
      </c>
      <c r="V14" s="8">
        <v>0</v>
      </c>
      <c r="W14" s="8">
        <v>0.3</v>
      </c>
      <c r="Y14" s="21" t="s">
        <v>105</v>
      </c>
      <c r="Z14" s="8">
        <v>0.155</v>
      </c>
      <c r="AA14" s="8">
        <v>0.313</v>
      </c>
      <c r="AB14" s="8">
        <v>0</v>
      </c>
      <c r="AC14" s="8">
        <v>1.1000000000000001</v>
      </c>
      <c r="AE14" s="21" t="s">
        <v>105</v>
      </c>
      <c r="AF14" s="8">
        <v>1.68</v>
      </c>
      <c r="AG14" s="8">
        <v>0.97799999999999998</v>
      </c>
      <c r="AH14" s="8">
        <v>0.3</v>
      </c>
      <c r="AI14" s="8">
        <v>4</v>
      </c>
      <c r="AK14" s="21" t="s">
        <v>105</v>
      </c>
      <c r="AL14" s="8">
        <v>17.611000000000001</v>
      </c>
      <c r="AM14" s="8">
        <v>2.4430000000000001</v>
      </c>
      <c r="AN14" s="8">
        <v>13</v>
      </c>
      <c r="AO14" s="8">
        <v>22.7</v>
      </c>
      <c r="AQ14" s="21" t="s">
        <v>105</v>
      </c>
      <c r="AR14" s="8">
        <v>22.594999999999999</v>
      </c>
      <c r="AS14" s="8">
        <v>2.766</v>
      </c>
      <c r="AT14" s="8">
        <v>17.399999999999999</v>
      </c>
      <c r="AU14" s="8">
        <v>28.3</v>
      </c>
      <c r="AW14" s="21" t="s">
        <v>105</v>
      </c>
      <c r="AX14" s="8">
        <v>22.178999999999998</v>
      </c>
      <c r="AY14" s="8">
        <v>2.7839999999999998</v>
      </c>
      <c r="AZ14" s="8">
        <v>17</v>
      </c>
      <c r="BA14" s="8">
        <v>27.8</v>
      </c>
      <c r="BC14" s="21" t="s">
        <v>105</v>
      </c>
      <c r="BD14" s="8">
        <v>15.029</v>
      </c>
      <c r="BE14" s="8">
        <v>2.4700000000000002</v>
      </c>
      <c r="BF14" s="8">
        <v>10.5</v>
      </c>
      <c r="BG14" s="8">
        <v>20.202000000000002</v>
      </c>
      <c r="BI14" s="21" t="s">
        <v>105</v>
      </c>
      <c r="BJ14" s="8">
        <f>SUM('[1]Fall 4'!BJ68,'[1]Fall 5'!BJ69)</f>
        <v>0</v>
      </c>
      <c r="BK14" s="8">
        <f>SQRT(SUM('[1]Fall 4'!BK68^2,'[1]Fall 5'!BK69^2))</f>
        <v>0</v>
      </c>
      <c r="BL14" s="8">
        <f t="shared" si="1"/>
        <v>0</v>
      </c>
      <c r="BM14" s="8">
        <f t="shared" si="2"/>
        <v>0</v>
      </c>
      <c r="BO14" s="21" t="s">
        <v>105</v>
      </c>
      <c r="BP14" s="8">
        <v>16.248999999999999</v>
      </c>
      <c r="BQ14" s="8">
        <v>2.3820000000000001</v>
      </c>
      <c r="BR14" s="8">
        <v>11.8</v>
      </c>
      <c r="BS14" s="8">
        <v>21.1</v>
      </c>
      <c r="BU14" s="21" t="s">
        <v>105</v>
      </c>
      <c r="BV14" s="8">
        <v>18.399000000000001</v>
      </c>
      <c r="BW14" s="8">
        <v>2.9620000000000002</v>
      </c>
      <c r="BX14" s="8">
        <v>12.9</v>
      </c>
      <c r="BY14" s="8">
        <v>24.7</v>
      </c>
      <c r="CA14" t="s">
        <v>105</v>
      </c>
      <c r="CB14" s="11">
        <v>16.634791751109162</v>
      </c>
      <c r="CC14" s="11">
        <v>2.0255530106346065</v>
      </c>
      <c r="CD14" s="11">
        <v>12.664707850265334</v>
      </c>
      <c r="CE14" s="11">
        <v>20.604875651952991</v>
      </c>
    </row>
    <row r="15" spans="1:83" x14ac:dyDescent="0.25">
      <c r="A15" s="22" t="s">
        <v>17</v>
      </c>
      <c r="B15" s="8">
        <v>5.7945916414505714</v>
      </c>
      <c r="C15" s="8">
        <v>0.35038969493427896</v>
      </c>
      <c r="D15" s="8">
        <v>5.107827839379385</v>
      </c>
      <c r="E15" s="8">
        <v>6.4813554435217577</v>
      </c>
      <c r="G15" s="22" t="s">
        <v>17</v>
      </c>
      <c r="H15" s="8">
        <v>0.03</v>
      </c>
      <c r="I15" s="8">
        <v>8.5999999999999993E-2</v>
      </c>
      <c r="J15" s="8">
        <v>0</v>
      </c>
      <c r="K15" s="8">
        <v>0.2</v>
      </c>
      <c r="M15" s="22" t="s">
        <v>17</v>
      </c>
      <c r="N15" s="8">
        <v>3.5999999999999997E-2</v>
      </c>
      <c r="O15" s="8">
        <v>0.112</v>
      </c>
      <c r="P15" s="8">
        <v>0</v>
      </c>
      <c r="Q15" s="8">
        <v>0.3</v>
      </c>
      <c r="S15" s="22" t="s">
        <v>17</v>
      </c>
      <c r="T15" s="8">
        <v>3.2000000000000001E-2</v>
      </c>
      <c r="U15" s="8">
        <v>9.2999999999999999E-2</v>
      </c>
      <c r="V15" s="8">
        <v>0</v>
      </c>
      <c r="W15" s="8">
        <v>0.2</v>
      </c>
      <c r="Y15" s="22" t="s">
        <v>17</v>
      </c>
      <c r="Z15" s="8">
        <v>4.2000000000000003E-2</v>
      </c>
      <c r="AA15" s="8">
        <v>0.13500000000000001</v>
      </c>
      <c r="AB15" s="8">
        <v>0</v>
      </c>
      <c r="AC15" s="8">
        <v>0.4</v>
      </c>
      <c r="AE15" s="22" t="s">
        <v>17</v>
      </c>
      <c r="AF15" s="8">
        <v>1.5509999999999999</v>
      </c>
      <c r="AG15" s="8">
        <v>0.89400000000000002</v>
      </c>
      <c r="AH15" s="8">
        <v>0.3</v>
      </c>
      <c r="AI15" s="8">
        <v>3.7</v>
      </c>
      <c r="AK15" s="22" t="s">
        <v>17</v>
      </c>
      <c r="AL15" s="8">
        <v>17.420999999999999</v>
      </c>
      <c r="AM15" s="8">
        <v>2.3759999999999999</v>
      </c>
      <c r="AN15" s="8">
        <v>12.9</v>
      </c>
      <c r="AO15" s="8">
        <v>22.2</v>
      </c>
      <c r="AQ15" s="22" t="s">
        <v>17</v>
      </c>
      <c r="AR15" s="8">
        <v>21.111999999999998</v>
      </c>
      <c r="AS15" s="8">
        <v>2.6440000000000001</v>
      </c>
      <c r="AT15" s="8">
        <v>16.2</v>
      </c>
      <c r="AU15" s="8">
        <v>26.6</v>
      </c>
      <c r="AW15" s="22" t="s">
        <v>17</v>
      </c>
      <c r="AX15" s="8">
        <v>22.15</v>
      </c>
      <c r="AY15" s="8">
        <v>2.778</v>
      </c>
      <c r="AZ15" s="8">
        <v>17</v>
      </c>
      <c r="BA15" s="8">
        <v>27.8</v>
      </c>
      <c r="BC15" s="22" t="s">
        <v>17</v>
      </c>
      <c r="BD15" s="8">
        <v>14.544</v>
      </c>
      <c r="BE15" s="8">
        <v>2.298</v>
      </c>
      <c r="BF15" s="8">
        <v>10.3</v>
      </c>
      <c r="BG15" s="8">
        <v>19.3</v>
      </c>
      <c r="BI15" s="22" t="s">
        <v>17</v>
      </c>
      <c r="BJ15" s="8">
        <f>SUM('[1]Fall 4'!BJ69,'[1]Fall 5'!BJ70)</f>
        <v>0</v>
      </c>
      <c r="BK15" s="8">
        <f>SQRT(SUM('[1]Fall 4'!BK69^2,'[1]Fall 5'!BK70^2))</f>
        <v>0</v>
      </c>
      <c r="BL15" s="8">
        <f t="shared" si="1"/>
        <v>0</v>
      </c>
      <c r="BM15" s="8">
        <f t="shared" si="2"/>
        <v>0</v>
      </c>
      <c r="BO15" s="22" t="s">
        <v>17</v>
      </c>
      <c r="BP15" s="8">
        <v>16.167999999999999</v>
      </c>
      <c r="BQ15" s="8">
        <v>2.371</v>
      </c>
      <c r="BR15" s="8">
        <v>11.8</v>
      </c>
      <c r="BS15" s="8">
        <v>21</v>
      </c>
      <c r="BU15" s="22" t="s">
        <v>17</v>
      </c>
      <c r="BV15" s="8">
        <v>18.155000000000001</v>
      </c>
      <c r="BW15" s="8">
        <v>2.91</v>
      </c>
      <c r="BX15" s="8">
        <v>12.8</v>
      </c>
      <c r="BY15" s="8">
        <v>24.3</v>
      </c>
      <c r="CA15" t="s">
        <v>17</v>
      </c>
      <c r="CB15" s="11">
        <v>16.524543353234375</v>
      </c>
      <c r="CC15" s="11">
        <v>2.0144056789966558</v>
      </c>
      <c r="CD15" s="11">
        <v>12.576308222400929</v>
      </c>
      <c r="CE15" s="11">
        <v>20.47277848406782</v>
      </c>
    </row>
    <row r="16" spans="1:83" x14ac:dyDescent="0.25">
      <c r="A16" s="22" t="s">
        <v>18</v>
      </c>
      <c r="B16" s="8">
        <v>0.15006818959667245</v>
      </c>
      <c r="C16" s="8">
        <v>8.9513694044182288E-2</v>
      </c>
      <c r="D16" s="8">
        <v>0</v>
      </c>
      <c r="E16" s="8">
        <v>0.32551502992326975</v>
      </c>
      <c r="G16" s="22" t="s">
        <v>18</v>
      </c>
      <c r="H16" s="8">
        <v>1.6E-2</v>
      </c>
      <c r="I16" s="8">
        <v>6.3E-2</v>
      </c>
      <c r="J16" s="8">
        <v>0</v>
      </c>
      <c r="K16" s="8">
        <v>0.1</v>
      </c>
      <c r="M16" s="22" t="s">
        <v>18</v>
      </c>
      <c r="N16" s="8">
        <v>4.7E-2</v>
      </c>
      <c r="O16" s="8">
        <v>0.18099999999999999</v>
      </c>
      <c r="P16" s="8">
        <v>0</v>
      </c>
      <c r="Q16" s="8">
        <v>0.5</v>
      </c>
      <c r="S16" s="22" t="s">
        <v>18</v>
      </c>
      <c r="T16" s="8">
        <v>1.7999999999999999E-2</v>
      </c>
      <c r="U16" s="8">
        <v>7.0999999999999994E-2</v>
      </c>
      <c r="V16" s="8">
        <v>0</v>
      </c>
      <c r="W16" s="8">
        <v>0.1</v>
      </c>
      <c r="Y16" s="22" t="s">
        <v>18</v>
      </c>
      <c r="Z16" s="8">
        <v>0.11899999999999999</v>
      </c>
      <c r="AA16" s="8">
        <v>0.28499999999999998</v>
      </c>
      <c r="AB16" s="8">
        <v>0</v>
      </c>
      <c r="AC16" s="8">
        <v>1</v>
      </c>
      <c r="AE16" s="22" t="s">
        <v>18</v>
      </c>
      <c r="AF16" s="8">
        <v>0.13400000000000001</v>
      </c>
      <c r="AG16" s="8">
        <v>0.39500000000000002</v>
      </c>
      <c r="AH16" s="8">
        <v>0</v>
      </c>
      <c r="AI16" s="8">
        <v>1.4</v>
      </c>
      <c r="AK16" s="22" t="s">
        <v>18</v>
      </c>
      <c r="AL16" s="8">
        <v>0.2</v>
      </c>
      <c r="AM16" s="8">
        <v>0.53700000000000003</v>
      </c>
      <c r="AN16" s="8">
        <v>0</v>
      </c>
      <c r="AO16" s="8">
        <v>2</v>
      </c>
      <c r="AQ16" s="22" t="s">
        <v>18</v>
      </c>
      <c r="AR16" s="8">
        <v>1.4790000000000001</v>
      </c>
      <c r="AS16" s="8">
        <v>0.92200000000000004</v>
      </c>
      <c r="AT16" s="8">
        <v>0.2</v>
      </c>
      <c r="AU16" s="8">
        <v>3.7</v>
      </c>
      <c r="AW16" s="22" t="s">
        <v>18</v>
      </c>
      <c r="AX16" s="8">
        <v>3.5000000000000003E-2</v>
      </c>
      <c r="AY16" s="8">
        <v>0.17499999999999999</v>
      </c>
      <c r="AZ16" s="8">
        <v>0</v>
      </c>
      <c r="BA16" s="8">
        <v>0.3</v>
      </c>
      <c r="BC16" s="22" t="s">
        <v>18</v>
      </c>
      <c r="BD16" s="8">
        <v>0.48299999999999998</v>
      </c>
      <c r="BE16" s="8">
        <v>0.86399999999999999</v>
      </c>
      <c r="BF16" s="8">
        <v>0</v>
      </c>
      <c r="BG16" s="8">
        <v>2.9</v>
      </c>
      <c r="BI16" s="22" t="s">
        <v>18</v>
      </c>
      <c r="BJ16" s="8">
        <f>SUM('[1]Fall 4'!BJ70,'[1]Fall 5'!BJ71)</f>
        <v>0</v>
      </c>
      <c r="BK16" s="8">
        <f>SQRT(SUM('[1]Fall 4'!BK70^2,'[1]Fall 5'!BK71^2))</f>
        <v>0</v>
      </c>
      <c r="BL16" s="8">
        <f t="shared" si="1"/>
        <v>0</v>
      </c>
      <c r="BM16" s="8">
        <f t="shared" si="2"/>
        <v>0</v>
      </c>
      <c r="BO16" s="22" t="s">
        <v>18</v>
      </c>
      <c r="BP16" s="8">
        <v>8.4000000000000005E-2</v>
      </c>
      <c r="BQ16" s="8">
        <v>0.28100000000000003</v>
      </c>
      <c r="BR16" s="8">
        <v>0</v>
      </c>
      <c r="BS16" s="8">
        <v>1</v>
      </c>
      <c r="BU16" s="22" t="s">
        <v>18</v>
      </c>
      <c r="BV16" s="8">
        <v>0.247</v>
      </c>
      <c r="BW16" s="8">
        <v>0.64200000000000002</v>
      </c>
      <c r="BX16" s="8">
        <v>0</v>
      </c>
      <c r="BY16" s="8">
        <v>2.4</v>
      </c>
      <c r="CA16" t="s">
        <v>18</v>
      </c>
      <c r="CB16" s="11">
        <v>0.11324839787478776</v>
      </c>
      <c r="CC16" s="11">
        <v>0.25775382307279809</v>
      </c>
      <c r="CD16" s="11">
        <v>0</v>
      </c>
      <c r="CE16" s="11">
        <v>0.61844589109747206</v>
      </c>
    </row>
    <row r="17" spans="1:83" x14ac:dyDescent="0.25">
      <c r="A17" s="20" t="s">
        <v>41</v>
      </c>
      <c r="B17" s="8">
        <v>21.522921813762842</v>
      </c>
      <c r="C17" s="8">
        <v>0.73169493395034135</v>
      </c>
      <c r="D17" s="8">
        <v>20.088799743220171</v>
      </c>
      <c r="E17" s="8">
        <v>22.957043884305513</v>
      </c>
      <c r="G17" s="20" t="s">
        <v>41</v>
      </c>
      <c r="H17" s="8">
        <v>0.38600000000000001</v>
      </c>
      <c r="I17" s="8">
        <v>0.58499999999999996</v>
      </c>
      <c r="J17" s="8">
        <v>0</v>
      </c>
      <c r="K17" s="8">
        <v>2.1</v>
      </c>
      <c r="M17" s="20" t="s">
        <v>41</v>
      </c>
      <c r="N17" s="8">
        <v>0.69899999999999995</v>
      </c>
      <c r="O17" s="8">
        <v>0.92200000000000004</v>
      </c>
      <c r="P17" s="8">
        <v>0</v>
      </c>
      <c r="Q17" s="8">
        <v>3.3</v>
      </c>
      <c r="S17" s="20" t="s">
        <v>41</v>
      </c>
      <c r="T17" s="8">
        <v>0.50700000000000001</v>
      </c>
      <c r="U17" s="8">
        <v>0.73099999999999998</v>
      </c>
      <c r="V17" s="8">
        <v>0</v>
      </c>
      <c r="W17" s="8">
        <v>2.6</v>
      </c>
      <c r="Y17" s="20" t="s">
        <v>41</v>
      </c>
      <c r="Z17" s="8">
        <v>0.55900000000000005</v>
      </c>
      <c r="AA17" s="8">
        <v>0.83</v>
      </c>
      <c r="AB17" s="8">
        <v>0</v>
      </c>
      <c r="AC17" s="8">
        <v>3</v>
      </c>
      <c r="AE17" s="20" t="s">
        <v>41</v>
      </c>
      <c r="AF17" s="8">
        <v>8.1739999999999995</v>
      </c>
      <c r="AG17" s="8">
        <v>3.6219999999999999</v>
      </c>
      <c r="AH17" s="8">
        <v>1.9</v>
      </c>
      <c r="AI17" s="8">
        <v>16</v>
      </c>
      <c r="AK17" s="20" t="s">
        <v>41</v>
      </c>
      <c r="AL17" s="8">
        <v>39.015999999999998</v>
      </c>
      <c r="AM17" s="8">
        <v>5.6580000000000004</v>
      </c>
      <c r="AN17" s="8">
        <v>28.2</v>
      </c>
      <c r="AO17" s="8">
        <v>50.4</v>
      </c>
      <c r="AQ17" s="20" t="s">
        <v>41</v>
      </c>
      <c r="AR17" s="8">
        <v>66.721999999999994</v>
      </c>
      <c r="AS17" s="8">
        <v>4.3529999999999998</v>
      </c>
      <c r="AT17" s="8">
        <v>57.8</v>
      </c>
      <c r="AU17" s="8">
        <v>74.8</v>
      </c>
      <c r="AW17" s="20" t="s">
        <v>41</v>
      </c>
      <c r="AX17" s="8">
        <v>68.477999999999994</v>
      </c>
      <c r="AY17" s="8">
        <v>4.8940000000000001</v>
      </c>
      <c r="AZ17" s="8">
        <v>58.6</v>
      </c>
      <c r="BA17" s="8">
        <v>77.400000000000006</v>
      </c>
      <c r="BC17" s="20" t="s">
        <v>41</v>
      </c>
      <c r="BD17" s="8">
        <v>66.936999999999998</v>
      </c>
      <c r="BE17" s="8">
        <v>4.8849999999999998</v>
      </c>
      <c r="BF17" s="8">
        <v>57</v>
      </c>
      <c r="BG17" s="8">
        <v>76.3</v>
      </c>
      <c r="BI17" s="20" t="s">
        <v>41</v>
      </c>
      <c r="BJ17" s="8">
        <f>SUM('[1]Fall 4'!BJ71,'[1]Fall 5'!BJ72)</f>
        <v>0</v>
      </c>
      <c r="BK17" s="8">
        <f>SQRT(SUM('[1]Fall 4'!BK71^2,'[1]Fall 5'!BK72^2))</f>
        <v>0</v>
      </c>
      <c r="BL17" s="8">
        <f t="shared" si="1"/>
        <v>0</v>
      </c>
      <c r="BM17" s="8">
        <f t="shared" si="2"/>
        <v>0</v>
      </c>
      <c r="BO17" s="20" t="s">
        <v>41</v>
      </c>
      <c r="BP17" s="8">
        <v>73.316000000000003</v>
      </c>
      <c r="BQ17" s="8">
        <v>4.2359999999999998</v>
      </c>
      <c r="BR17" s="8">
        <v>64.599999999999994</v>
      </c>
      <c r="BS17" s="8">
        <v>81.099999999999994</v>
      </c>
      <c r="BU17" s="20" t="s">
        <v>41</v>
      </c>
      <c r="BV17" s="8">
        <v>75.099000000000004</v>
      </c>
      <c r="BW17" s="8">
        <v>4.7140000000000004</v>
      </c>
      <c r="BX17" s="8">
        <v>65</v>
      </c>
      <c r="BY17" s="8">
        <v>83.302000000000007</v>
      </c>
      <c r="CA17" t="s">
        <v>41</v>
      </c>
      <c r="CB17" s="11">
        <v>73.635937996384939</v>
      </c>
      <c r="CC17" s="11">
        <v>3.5773428670373999</v>
      </c>
      <c r="CD17" s="11">
        <v>66.624345976991634</v>
      </c>
      <c r="CE17" s="11">
        <v>80.647530015778244</v>
      </c>
    </row>
    <row r="18" spans="1:83" x14ac:dyDescent="0.25">
      <c r="A18" s="20" t="s">
        <v>106</v>
      </c>
      <c r="B18" s="8">
        <v>8.5974506140675295</v>
      </c>
      <c r="C18" s="8">
        <v>0.60579317504702723</v>
      </c>
      <c r="D18" s="8">
        <v>7.4100959909753561</v>
      </c>
      <c r="E18" s="8">
        <v>9.7848052371597021</v>
      </c>
      <c r="G18" s="20" t="s">
        <v>106</v>
      </c>
      <c r="H18" s="8">
        <v>0.217</v>
      </c>
      <c r="I18" s="8">
        <v>0.42</v>
      </c>
      <c r="J18" s="8">
        <v>0</v>
      </c>
      <c r="K18" s="8">
        <v>1.5</v>
      </c>
      <c r="M18" s="20" t="s">
        <v>106</v>
      </c>
      <c r="N18" s="8">
        <v>0.22</v>
      </c>
      <c r="O18" s="8">
        <v>0.42099999999999999</v>
      </c>
      <c r="P18" s="8">
        <v>0</v>
      </c>
      <c r="Q18" s="8">
        <v>1.5</v>
      </c>
      <c r="S18" s="20" t="s">
        <v>106</v>
      </c>
      <c r="T18" s="8">
        <v>0.157</v>
      </c>
      <c r="U18" s="8">
        <v>0.32</v>
      </c>
      <c r="V18" s="8">
        <v>0</v>
      </c>
      <c r="W18" s="8">
        <v>1.1000000000000001</v>
      </c>
      <c r="Y18" s="20" t="s">
        <v>106</v>
      </c>
      <c r="Z18" s="8">
        <v>0.48699999999999999</v>
      </c>
      <c r="AA18" s="8">
        <v>0.68600000000000005</v>
      </c>
      <c r="AB18" s="8">
        <v>0</v>
      </c>
      <c r="AC18" s="8">
        <v>2.5</v>
      </c>
      <c r="AE18" s="20" t="s">
        <v>106</v>
      </c>
      <c r="AF18" s="8">
        <v>3.1</v>
      </c>
      <c r="AG18" s="8">
        <v>2.3690000000000002</v>
      </c>
      <c r="AH18" s="8">
        <v>0.5</v>
      </c>
      <c r="AI18" s="8">
        <v>9.3000000000000007</v>
      </c>
      <c r="AK18" s="20" t="s">
        <v>106</v>
      </c>
      <c r="AL18" s="8">
        <v>25.381</v>
      </c>
      <c r="AM18" s="8">
        <v>4.016</v>
      </c>
      <c r="AN18" s="8">
        <v>17.899999999999999</v>
      </c>
      <c r="AO18" s="8">
        <v>33.6</v>
      </c>
      <c r="AQ18" s="20" t="s">
        <v>106</v>
      </c>
      <c r="AR18" s="8">
        <v>24.186</v>
      </c>
      <c r="AS18" s="8">
        <v>3.2930000000000001</v>
      </c>
      <c r="AT18" s="8">
        <v>18.3</v>
      </c>
      <c r="AU18" s="8">
        <v>31.3</v>
      </c>
      <c r="AW18" s="20" t="s">
        <v>106</v>
      </c>
      <c r="AX18" s="8">
        <v>27.742000000000001</v>
      </c>
      <c r="AY18" s="8">
        <v>4.6319999999999997</v>
      </c>
      <c r="AZ18" s="8">
        <v>19.399999999999999</v>
      </c>
      <c r="BA18" s="8">
        <v>37.200000000000003</v>
      </c>
      <c r="BC18" s="20" t="s">
        <v>106</v>
      </c>
      <c r="BD18" s="8">
        <v>31.850999999999999</v>
      </c>
      <c r="BE18" s="8">
        <v>4.6980000000000004</v>
      </c>
      <c r="BF18" s="8">
        <v>22.7</v>
      </c>
      <c r="BG18" s="8">
        <v>41.4</v>
      </c>
      <c r="BI18" s="20" t="s">
        <v>106</v>
      </c>
      <c r="BJ18" s="8">
        <f>SUM('[1]Fall 4'!BJ72,'[1]Fall 5'!BJ73)</f>
        <v>0</v>
      </c>
      <c r="BK18" s="8">
        <f>SQRT(SUM('[1]Fall 4'!BK72^2,'[1]Fall 5'!BK73^2))</f>
        <v>0</v>
      </c>
      <c r="BL18" s="8">
        <f t="shared" si="1"/>
        <v>0</v>
      </c>
      <c r="BM18" s="8">
        <f t="shared" si="2"/>
        <v>0</v>
      </c>
      <c r="BO18" s="20" t="s">
        <v>106</v>
      </c>
      <c r="BP18" s="8">
        <v>24.018999999999998</v>
      </c>
      <c r="BQ18" s="8">
        <v>3.9649999999999999</v>
      </c>
      <c r="BR18" s="8">
        <v>16.3</v>
      </c>
      <c r="BS18" s="8">
        <v>32</v>
      </c>
      <c r="BU18" s="20" t="s">
        <v>106</v>
      </c>
      <c r="BV18" s="8">
        <v>20.832000000000001</v>
      </c>
      <c r="BW18" s="8">
        <v>3.9129999999999998</v>
      </c>
      <c r="BX18" s="8">
        <v>14.2</v>
      </c>
      <c r="BY18" s="8">
        <v>29.3</v>
      </c>
      <c r="CA18" t="s">
        <v>106</v>
      </c>
      <c r="CB18" s="11">
        <v>23.447131018239578</v>
      </c>
      <c r="CC18" s="11">
        <v>3.3284302526029883</v>
      </c>
      <c r="CD18" s="11">
        <v>16.923407723137721</v>
      </c>
      <c r="CE18" s="11">
        <v>29.970854313341434</v>
      </c>
    </row>
    <row r="19" spans="1:83" x14ac:dyDescent="0.25">
      <c r="A19" s="20" t="s">
        <v>22</v>
      </c>
      <c r="B19" s="8">
        <v>17.697162781556745</v>
      </c>
      <c r="C19" s="8">
        <v>0.62764733767124881</v>
      </c>
      <c r="D19" s="8">
        <v>16.466973999721098</v>
      </c>
      <c r="E19" s="8">
        <v>18.927351563392392</v>
      </c>
      <c r="G19" s="20" t="s">
        <v>22</v>
      </c>
      <c r="H19" s="8">
        <v>0.377</v>
      </c>
      <c r="I19" s="8">
        <v>0.55600000000000005</v>
      </c>
      <c r="J19" s="8">
        <v>0</v>
      </c>
      <c r="K19" s="8">
        <v>2</v>
      </c>
      <c r="M19" s="20" t="s">
        <v>22</v>
      </c>
      <c r="N19" s="8">
        <v>0.35099999999999998</v>
      </c>
      <c r="O19" s="8">
        <v>0.53100000000000003</v>
      </c>
      <c r="P19" s="8">
        <v>0</v>
      </c>
      <c r="Q19" s="8">
        <v>1.9</v>
      </c>
      <c r="S19" s="20" t="s">
        <v>22</v>
      </c>
      <c r="T19" s="8">
        <v>0.56000000000000005</v>
      </c>
      <c r="U19" s="8">
        <v>0.71399999999999997</v>
      </c>
      <c r="V19" s="8">
        <v>0</v>
      </c>
      <c r="W19" s="8">
        <v>2.5</v>
      </c>
      <c r="Y19" s="20" t="s">
        <v>22</v>
      </c>
      <c r="Z19" s="8">
        <v>0.67800000000000005</v>
      </c>
      <c r="AA19" s="8">
        <v>0.78400000000000003</v>
      </c>
      <c r="AB19" s="8">
        <v>0</v>
      </c>
      <c r="AC19" s="8">
        <v>2.8</v>
      </c>
      <c r="AE19" s="20" t="s">
        <v>22</v>
      </c>
      <c r="AF19" s="8">
        <v>17.436</v>
      </c>
      <c r="AG19" s="8">
        <v>3.2639999999999998</v>
      </c>
      <c r="AH19" s="8">
        <v>11.3</v>
      </c>
      <c r="AI19" s="8">
        <v>24.3</v>
      </c>
      <c r="AK19" s="20" t="s">
        <v>22</v>
      </c>
      <c r="AL19" s="8">
        <v>53.459000000000003</v>
      </c>
      <c r="AM19" s="8">
        <v>4.4660000000000002</v>
      </c>
      <c r="AN19" s="8">
        <v>44.9</v>
      </c>
      <c r="AO19" s="8">
        <v>62.3</v>
      </c>
      <c r="AQ19" s="20" t="s">
        <v>22</v>
      </c>
      <c r="AR19" s="8">
        <v>67.884</v>
      </c>
      <c r="AS19" s="8">
        <v>3.6640000000000001</v>
      </c>
      <c r="AT19" s="8">
        <v>60.5</v>
      </c>
      <c r="AU19" s="8">
        <v>74.8</v>
      </c>
      <c r="AW19" s="20" t="s">
        <v>22</v>
      </c>
      <c r="AX19" s="8">
        <v>63.313000000000002</v>
      </c>
      <c r="AY19" s="8">
        <v>4.0090000000000003</v>
      </c>
      <c r="AZ19" s="8">
        <v>55.3</v>
      </c>
      <c r="BA19" s="8">
        <v>71</v>
      </c>
      <c r="BC19" s="20" t="s">
        <v>22</v>
      </c>
      <c r="BD19" s="8">
        <v>55.08</v>
      </c>
      <c r="BE19" s="8">
        <v>3.8839999999999999</v>
      </c>
      <c r="BF19" s="8">
        <v>47.4</v>
      </c>
      <c r="BG19" s="8">
        <v>62.7</v>
      </c>
      <c r="BI19" s="20" t="s">
        <v>22</v>
      </c>
      <c r="BJ19" s="8">
        <f>SUM('[1]Fall 4'!BJ73,'[1]Fall 5'!BJ74)</f>
        <v>0</v>
      </c>
      <c r="BK19" s="8">
        <f>SQRT(SUM('[1]Fall 4'!BK73^2,'[1]Fall 5'!BK74^2))</f>
        <v>0</v>
      </c>
      <c r="BL19" s="8">
        <f t="shared" si="1"/>
        <v>0</v>
      </c>
      <c r="BM19" s="8">
        <f t="shared" si="2"/>
        <v>0</v>
      </c>
      <c r="BO19" s="20" t="s">
        <v>22</v>
      </c>
      <c r="BP19" s="8">
        <v>38.789000000000001</v>
      </c>
      <c r="BQ19" s="8">
        <v>3.8889999999999998</v>
      </c>
      <c r="BR19" s="8">
        <v>31.297999999999998</v>
      </c>
      <c r="BS19" s="8">
        <v>46.5</v>
      </c>
      <c r="BU19" s="20" t="s">
        <v>22</v>
      </c>
      <c r="BV19" s="8">
        <v>36.186999999999998</v>
      </c>
      <c r="BW19" s="8">
        <v>4.07</v>
      </c>
      <c r="BX19" s="8">
        <v>28.1</v>
      </c>
      <c r="BY19" s="8">
        <v>44.4</v>
      </c>
      <c r="CA19" t="s">
        <v>22</v>
      </c>
      <c r="CB19" s="11">
        <v>38.322102262146025</v>
      </c>
      <c r="CC19" s="11">
        <v>3.2736667720071289</v>
      </c>
      <c r="CD19" s="11">
        <v>31.905715389012052</v>
      </c>
      <c r="CE19" s="11">
        <v>44.738489135279998</v>
      </c>
    </row>
    <row r="20" spans="1:83" x14ac:dyDescent="0.25">
      <c r="A20" s="20" t="s">
        <v>42</v>
      </c>
      <c r="B20" s="8">
        <v>90.786705321235914</v>
      </c>
      <c r="C20" s="8">
        <v>0.64188442439914739</v>
      </c>
      <c r="D20" s="8">
        <v>89.528611849413579</v>
      </c>
      <c r="E20" s="8">
        <v>92.044798793058249</v>
      </c>
      <c r="G20" s="20" t="s">
        <v>42</v>
      </c>
      <c r="H20" s="8">
        <v>99.762</v>
      </c>
      <c r="I20" s="8">
        <v>0.432</v>
      </c>
      <c r="J20" s="8">
        <v>98.4</v>
      </c>
      <c r="K20" s="8">
        <v>100</v>
      </c>
      <c r="M20" s="20" t="s">
        <v>42</v>
      </c>
      <c r="N20" s="8">
        <v>99.757999999999996</v>
      </c>
      <c r="O20" s="8">
        <v>0.437</v>
      </c>
      <c r="P20" s="8">
        <v>98.4</v>
      </c>
      <c r="Q20" s="8">
        <v>100</v>
      </c>
      <c r="S20" s="20" t="s">
        <v>42</v>
      </c>
      <c r="T20" s="8">
        <v>99.691999999999993</v>
      </c>
      <c r="U20" s="8">
        <v>0.502</v>
      </c>
      <c r="V20" s="8">
        <v>98.2</v>
      </c>
      <c r="W20" s="8">
        <v>100</v>
      </c>
      <c r="Y20" s="20" t="s">
        <v>42</v>
      </c>
      <c r="Z20" s="8">
        <v>99.480999999999995</v>
      </c>
      <c r="AA20" s="8">
        <v>0.69399999999999995</v>
      </c>
      <c r="AB20" s="8">
        <v>97.5</v>
      </c>
      <c r="AC20" s="8">
        <v>100</v>
      </c>
      <c r="AE20" s="20" t="s">
        <v>42</v>
      </c>
      <c r="AF20" s="8">
        <v>90.433999999999997</v>
      </c>
      <c r="AG20" s="8">
        <v>3.0950000000000002</v>
      </c>
      <c r="AH20" s="8">
        <v>84</v>
      </c>
      <c r="AI20" s="8">
        <v>95.9</v>
      </c>
      <c r="AK20" s="20" t="s">
        <v>42</v>
      </c>
      <c r="AL20" s="8">
        <v>73.888999999999996</v>
      </c>
      <c r="AM20" s="8">
        <v>4.1079999999999997</v>
      </c>
      <c r="AN20" s="8">
        <v>65.400000000000006</v>
      </c>
      <c r="AO20" s="8">
        <v>81.5</v>
      </c>
      <c r="AQ20" s="20" t="s">
        <v>42</v>
      </c>
      <c r="AR20" s="8">
        <v>72.941999999999993</v>
      </c>
      <c r="AS20" s="8">
        <v>4.0049999999999999</v>
      </c>
      <c r="AT20" s="8">
        <v>64.599999999999994</v>
      </c>
      <c r="AU20" s="8">
        <v>80</v>
      </c>
      <c r="AW20" s="20" t="s">
        <v>42</v>
      </c>
      <c r="AX20" s="8">
        <v>72.144999999999996</v>
      </c>
      <c r="AY20" s="8">
        <v>4.6289999999999996</v>
      </c>
      <c r="AZ20" s="8">
        <v>62.7</v>
      </c>
      <c r="BA20" s="8">
        <v>80.5</v>
      </c>
      <c r="BC20" s="20" t="s">
        <v>42</v>
      </c>
      <c r="BD20" s="8">
        <v>68.066000000000003</v>
      </c>
      <c r="BE20" s="8">
        <v>4.7249999999999996</v>
      </c>
      <c r="BF20" s="8">
        <v>58.5</v>
      </c>
      <c r="BG20" s="8">
        <v>77.2</v>
      </c>
      <c r="BI20" s="20" t="s">
        <v>42</v>
      </c>
      <c r="BJ20" s="8">
        <f>SUM('[1]Fall 4'!BJ74,'[1]Fall 5'!BJ75)</f>
        <v>0</v>
      </c>
      <c r="BK20" s="8">
        <f>SQRT(SUM('[1]Fall 4'!BK74^2,'[1]Fall 5'!BK75^2))</f>
        <v>0</v>
      </c>
      <c r="BL20" s="8">
        <f t="shared" si="1"/>
        <v>0</v>
      </c>
      <c r="BM20" s="8">
        <f t="shared" si="2"/>
        <v>0</v>
      </c>
      <c r="BO20" s="20" t="s">
        <v>42</v>
      </c>
      <c r="BP20" s="8">
        <v>75.384</v>
      </c>
      <c r="BQ20" s="8">
        <v>4.0590000000000002</v>
      </c>
      <c r="BR20" s="8">
        <v>66.900000000000006</v>
      </c>
      <c r="BS20" s="8">
        <v>82.9</v>
      </c>
      <c r="BU20" s="20" t="s">
        <v>42</v>
      </c>
      <c r="BV20" s="8">
        <v>77.792000000000002</v>
      </c>
      <c r="BW20" s="8">
        <v>4.4059999999999997</v>
      </c>
      <c r="BX20" s="8">
        <v>68.400000000000006</v>
      </c>
      <c r="BY20" s="8">
        <v>85.4</v>
      </c>
      <c r="CA20" t="s">
        <v>42</v>
      </c>
      <c r="CB20" s="11">
        <v>75.816086761242261</v>
      </c>
      <c r="CC20" s="11">
        <v>3.4232086826724819</v>
      </c>
      <c r="CD20" s="11">
        <v>69.10659774320419</v>
      </c>
      <c r="CE20" s="11">
        <v>82.525575779280331</v>
      </c>
    </row>
    <row r="21" spans="1:83" x14ac:dyDescent="0.25">
      <c r="A21" s="20" t="s">
        <v>21</v>
      </c>
      <c r="B21" s="8">
        <v>9.2132946787640897</v>
      </c>
      <c r="C21" s="8">
        <v>0.64210023087561685</v>
      </c>
      <c r="D21" s="8">
        <v>7.954778226247881</v>
      </c>
      <c r="E21" s="8">
        <v>10.471811131280299</v>
      </c>
      <c r="G21" s="20" t="s">
        <v>21</v>
      </c>
      <c r="H21" s="8">
        <v>0.23799999999999999</v>
      </c>
      <c r="I21" s="8">
        <v>0.434</v>
      </c>
      <c r="J21" s="8">
        <v>0</v>
      </c>
      <c r="K21" s="8">
        <v>1.6</v>
      </c>
      <c r="M21" s="20" t="s">
        <v>21</v>
      </c>
      <c r="N21" s="8">
        <v>0.24199999999999999</v>
      </c>
      <c r="O21" s="8">
        <v>0.439</v>
      </c>
      <c r="P21" s="8">
        <v>0</v>
      </c>
      <c r="Q21" s="8">
        <v>1.6</v>
      </c>
      <c r="S21" s="20" t="s">
        <v>21</v>
      </c>
      <c r="T21" s="8">
        <v>0.308</v>
      </c>
      <c r="U21" s="8">
        <v>0.505</v>
      </c>
      <c r="V21" s="8">
        <v>0</v>
      </c>
      <c r="W21" s="8">
        <v>1.8</v>
      </c>
      <c r="Y21" s="20" t="s">
        <v>21</v>
      </c>
      <c r="Z21" s="8">
        <v>0.51900000000000002</v>
      </c>
      <c r="AA21" s="8">
        <v>0.69599999999999995</v>
      </c>
      <c r="AB21" s="8">
        <v>0</v>
      </c>
      <c r="AC21" s="8">
        <v>2.5</v>
      </c>
      <c r="AE21" s="20" t="s">
        <v>21</v>
      </c>
      <c r="AF21" s="8">
        <v>9.5660000000000007</v>
      </c>
      <c r="AG21" s="8">
        <v>3.0950000000000002</v>
      </c>
      <c r="AH21" s="8">
        <v>4</v>
      </c>
      <c r="AI21" s="8">
        <v>16</v>
      </c>
      <c r="AK21" s="20" t="s">
        <v>21</v>
      </c>
      <c r="AL21" s="8">
        <v>26.111000000000001</v>
      </c>
      <c r="AM21" s="8">
        <v>4.1079999999999997</v>
      </c>
      <c r="AN21" s="8">
        <v>18.5</v>
      </c>
      <c r="AO21" s="8">
        <v>34.6</v>
      </c>
      <c r="AQ21" s="20" t="s">
        <v>21</v>
      </c>
      <c r="AR21" s="8">
        <v>27.058</v>
      </c>
      <c r="AS21" s="8">
        <v>4.0049999999999999</v>
      </c>
      <c r="AT21" s="8">
        <v>20</v>
      </c>
      <c r="AU21" s="8">
        <v>35.302</v>
      </c>
      <c r="AW21" s="20" t="s">
        <v>21</v>
      </c>
      <c r="AX21" s="8">
        <v>27.855</v>
      </c>
      <c r="AY21" s="8">
        <v>4.6289999999999996</v>
      </c>
      <c r="AZ21" s="8">
        <v>19.5</v>
      </c>
      <c r="BA21" s="8">
        <v>37.200000000000003</v>
      </c>
      <c r="BC21" s="20" t="s">
        <v>21</v>
      </c>
      <c r="BD21" s="8">
        <v>31.934000000000001</v>
      </c>
      <c r="BE21" s="8">
        <v>4.7249999999999996</v>
      </c>
      <c r="BF21" s="8">
        <v>22.8</v>
      </c>
      <c r="BG21" s="8">
        <v>41.5</v>
      </c>
      <c r="BI21" s="20" t="s">
        <v>21</v>
      </c>
      <c r="BJ21" s="8">
        <f>SUM('[1]Fall 4'!BJ75,'[1]Fall 5'!BJ76)</f>
        <v>0</v>
      </c>
      <c r="BK21" s="8">
        <f>SQRT(SUM('[1]Fall 4'!BK75^2,'[1]Fall 5'!BK76^2))</f>
        <v>0</v>
      </c>
      <c r="BL21" s="8">
        <f t="shared" si="1"/>
        <v>0</v>
      </c>
      <c r="BM21" s="8">
        <f t="shared" si="2"/>
        <v>0</v>
      </c>
      <c r="BO21" s="20" t="s">
        <v>21</v>
      </c>
      <c r="BP21" s="8">
        <v>24.616</v>
      </c>
      <c r="BQ21" s="8">
        <v>4.0579999999999998</v>
      </c>
      <c r="BR21" s="8">
        <v>17.100000000000001</v>
      </c>
      <c r="BS21" s="8">
        <v>33.1</v>
      </c>
      <c r="BU21" s="20" t="s">
        <v>21</v>
      </c>
      <c r="BV21" s="8">
        <v>22.207999999999998</v>
      </c>
      <c r="BW21" s="8">
        <v>4.4050000000000002</v>
      </c>
      <c r="BX21" s="8">
        <v>14.6</v>
      </c>
      <c r="BY21" s="8">
        <v>31.501999999999999</v>
      </c>
      <c r="CA21" t="s">
        <v>21</v>
      </c>
      <c r="CB21" s="11">
        <v>24.183913238757736</v>
      </c>
      <c r="CC21" s="11">
        <v>3.4223688629637974</v>
      </c>
      <c r="CD21" s="11">
        <v>17.476070267348693</v>
      </c>
      <c r="CE21" s="11">
        <v>30.891756210166779</v>
      </c>
    </row>
    <row r="25" spans="1:83" x14ac:dyDescent="0.25">
      <c r="A25" s="5" t="s">
        <v>165</v>
      </c>
      <c r="G25" s="16" t="s">
        <v>195</v>
      </c>
    </row>
    <row r="26" spans="1:83" x14ac:dyDescent="0.25">
      <c r="A26" t="s">
        <v>64</v>
      </c>
      <c r="B26" s="7" t="s">
        <v>65</v>
      </c>
      <c r="C26" s="7" t="s">
        <v>34</v>
      </c>
      <c r="D26" s="14" t="s">
        <v>111</v>
      </c>
      <c r="E26" s="14"/>
      <c r="G26" s="16" t="s">
        <v>196</v>
      </c>
    </row>
    <row r="27" spans="1:83" x14ac:dyDescent="0.25">
      <c r="A27" s="20" t="s">
        <v>9</v>
      </c>
      <c r="B27" s="8">
        <v>99.174325201955639</v>
      </c>
      <c r="C27" s="8">
        <v>0.51210049608328601</v>
      </c>
      <c r="D27" s="8">
        <v>98.170608229632393</v>
      </c>
      <c r="E27" s="8">
        <v>100</v>
      </c>
      <c r="G27" s="17" t="s">
        <v>197</v>
      </c>
    </row>
    <row r="28" spans="1:83" x14ac:dyDescent="0.25">
      <c r="A28" s="21" t="s">
        <v>10</v>
      </c>
      <c r="B28" s="8">
        <v>66.068845701539956</v>
      </c>
      <c r="C28" s="8">
        <v>3.5983508417232515</v>
      </c>
      <c r="D28" s="8">
        <v>59.016078051762385</v>
      </c>
      <c r="E28" s="8">
        <v>73.121613351317535</v>
      </c>
      <c r="G28" s="18" t="s">
        <v>198</v>
      </c>
    </row>
    <row r="29" spans="1:83" x14ac:dyDescent="0.25">
      <c r="A29" s="21" t="s">
        <v>101</v>
      </c>
      <c r="B29" s="8">
        <v>33.068247707446609</v>
      </c>
      <c r="C29" s="8">
        <v>3.6476073661897548</v>
      </c>
      <c r="D29" s="8">
        <v>25.918937269714689</v>
      </c>
      <c r="E29" s="8">
        <v>40.217558145178529</v>
      </c>
      <c r="G29" s="18" t="s">
        <v>199</v>
      </c>
    </row>
    <row r="30" spans="1:83" x14ac:dyDescent="0.25">
      <c r="A30" s="22" t="s">
        <v>126</v>
      </c>
      <c r="B30" s="8">
        <v>26.634295759862017</v>
      </c>
      <c r="C30" s="8">
        <v>4.0096320584400509</v>
      </c>
      <c r="D30" s="8">
        <v>18.775416925319519</v>
      </c>
      <c r="E30" s="8">
        <v>34.493174594404515</v>
      </c>
      <c r="G30" s="18" t="s">
        <v>214</v>
      </c>
    </row>
    <row r="31" spans="1:83" x14ac:dyDescent="0.25">
      <c r="A31" s="22" t="s">
        <v>103</v>
      </c>
      <c r="B31" s="8">
        <v>6.4163115949222584</v>
      </c>
      <c r="C31" s="8">
        <v>1.4540823976915569</v>
      </c>
      <c r="D31" s="8">
        <v>3.566310095446807</v>
      </c>
      <c r="E31" s="8">
        <v>9.2663130943977094</v>
      </c>
      <c r="G31" s="16" t="s">
        <v>201</v>
      </c>
    </row>
    <row r="32" spans="1:83" x14ac:dyDescent="0.25">
      <c r="A32" s="20" t="s">
        <v>11</v>
      </c>
      <c r="B32" s="8">
        <v>0.82567479804434962</v>
      </c>
      <c r="C32" s="8">
        <v>0.51205612354443197</v>
      </c>
      <c r="D32" s="8">
        <v>0</v>
      </c>
      <c r="E32" s="8">
        <v>1.8293048001914363</v>
      </c>
      <c r="G32" s="16" t="s">
        <v>202</v>
      </c>
    </row>
    <row r="33" spans="1:7" x14ac:dyDescent="0.25">
      <c r="A33" s="21" t="s">
        <v>103</v>
      </c>
      <c r="B33" s="8">
        <v>0.35124439984116546</v>
      </c>
      <c r="C33" s="8">
        <v>0.34672317089890642</v>
      </c>
      <c r="D33" s="8">
        <v>0</v>
      </c>
      <c r="E33" s="8">
        <v>1.0308218148030219</v>
      </c>
      <c r="G33" s="16" t="s">
        <v>203</v>
      </c>
    </row>
    <row r="34" spans="1:7" x14ac:dyDescent="0.25">
      <c r="A34" s="21" t="s">
        <v>38</v>
      </c>
      <c r="B34" s="8">
        <v>0.2041456066114882</v>
      </c>
      <c r="C34" s="8">
        <v>0.282666063404238</v>
      </c>
      <c r="D34" s="8">
        <v>0</v>
      </c>
      <c r="E34" s="8">
        <v>0.75817109088379464</v>
      </c>
      <c r="G34" s="16" t="s">
        <v>204</v>
      </c>
    </row>
    <row r="35" spans="1:7" x14ac:dyDescent="0.25">
      <c r="A35" s="21" t="s">
        <v>104</v>
      </c>
      <c r="B35" s="8">
        <v>0.25012247322769182</v>
      </c>
      <c r="C35" s="8">
        <v>0.27195682029505924</v>
      </c>
      <c r="D35" s="8">
        <v>0</v>
      </c>
      <c r="E35" s="8">
        <v>0.78315784100600783</v>
      </c>
      <c r="G35" s="16" t="s">
        <v>205</v>
      </c>
    </row>
    <row r="36" spans="1:7" x14ac:dyDescent="0.25">
      <c r="A36" s="22" t="s">
        <v>14</v>
      </c>
      <c r="B36" s="8">
        <v>9.2055260774070266E-2</v>
      </c>
      <c r="C36" s="8">
        <v>0.19209934928865235</v>
      </c>
      <c r="D36" s="8">
        <v>0</v>
      </c>
      <c r="E36" s="8">
        <v>0.46856998537982891</v>
      </c>
      <c r="G36" s="16" t="s">
        <v>206</v>
      </c>
    </row>
    <row r="37" spans="1:7" x14ac:dyDescent="0.25">
      <c r="A37" s="22" t="s">
        <v>15</v>
      </c>
      <c r="B37" s="8">
        <v>0.16479528584014794</v>
      </c>
      <c r="C37" s="8">
        <v>0.1953523352249133</v>
      </c>
      <c r="D37" s="8">
        <v>0</v>
      </c>
      <c r="E37" s="8">
        <v>0.54768586288097798</v>
      </c>
      <c r="G37" s="16" t="s">
        <v>207</v>
      </c>
    </row>
    <row r="38" spans="1:7" x14ac:dyDescent="0.25">
      <c r="A38" s="21" t="s">
        <v>105</v>
      </c>
      <c r="B38" s="8">
        <v>6.390366126050108E-2</v>
      </c>
      <c r="C38" s="8">
        <v>8.3790597673793113E-2</v>
      </c>
      <c r="D38" s="8">
        <v>0</v>
      </c>
      <c r="E38" s="8">
        <v>0.22813323270113556</v>
      </c>
      <c r="G38" s="16" t="s">
        <v>208</v>
      </c>
    </row>
    <row r="39" spans="1:7" x14ac:dyDescent="0.25">
      <c r="A39" s="22" t="s">
        <v>17</v>
      </c>
      <c r="B39" s="8">
        <v>3.3648075992405727E-2</v>
      </c>
      <c r="C39" s="8">
        <v>5.6196200273162855E-2</v>
      </c>
      <c r="D39" s="8">
        <v>0</v>
      </c>
      <c r="E39" s="8">
        <v>0.14379262852780492</v>
      </c>
      <c r="G39" s="16" t="s">
        <v>209</v>
      </c>
    </row>
    <row r="40" spans="1:7" x14ac:dyDescent="0.25">
      <c r="A40" s="22" t="s">
        <v>18</v>
      </c>
      <c r="B40" s="8">
        <v>3.4930241229975054E-2</v>
      </c>
      <c r="C40" s="8">
        <v>6.4246640499516408E-2</v>
      </c>
      <c r="D40" s="8">
        <v>0</v>
      </c>
      <c r="E40" s="8">
        <v>0.16085365660902723</v>
      </c>
      <c r="G40" s="16" t="s">
        <v>210</v>
      </c>
    </row>
    <row r="41" spans="1:7" x14ac:dyDescent="0.25">
      <c r="A41" s="20" t="s">
        <v>41</v>
      </c>
      <c r="B41" s="8">
        <v>0.53944755295519131</v>
      </c>
      <c r="C41" s="8">
        <v>0.43833793360858242</v>
      </c>
      <c r="D41" s="8">
        <v>0</v>
      </c>
      <c r="E41" s="8">
        <v>1.3985899028280129</v>
      </c>
      <c r="G41" s="16" t="s">
        <v>211</v>
      </c>
    </row>
    <row r="42" spans="1:7" x14ac:dyDescent="0.25">
      <c r="A42" s="20" t="s">
        <v>106</v>
      </c>
      <c r="B42" s="8">
        <v>0.21585043307233176</v>
      </c>
      <c r="C42" s="8">
        <v>0.21060604381077297</v>
      </c>
      <c r="D42" s="8">
        <v>0</v>
      </c>
      <c r="E42" s="8">
        <v>0.62863827894144675</v>
      </c>
      <c r="G42" s="16" t="s">
        <v>212</v>
      </c>
    </row>
    <row r="43" spans="1:7" x14ac:dyDescent="0.25">
      <c r="A43" s="20" t="s">
        <v>22</v>
      </c>
      <c r="B43" s="8">
        <v>0.4875003697866902</v>
      </c>
      <c r="C43" s="8">
        <v>0.3859744193000888</v>
      </c>
      <c r="D43" s="8">
        <v>0</v>
      </c>
      <c r="E43" s="8">
        <v>1.2440102316148642</v>
      </c>
      <c r="G43" s="19" t="s">
        <v>213</v>
      </c>
    </row>
    <row r="44" spans="1:7" x14ac:dyDescent="0.25">
      <c r="A44" s="20" t="s">
        <v>42</v>
      </c>
      <c r="B44" s="8">
        <v>99.699822379540123</v>
      </c>
      <c r="C44" s="8">
        <v>0.28222421609204806</v>
      </c>
      <c r="D44" s="8">
        <v>99.146662915999713</v>
      </c>
      <c r="E44" s="8">
        <v>100</v>
      </c>
    </row>
    <row r="45" spans="1:7" x14ac:dyDescent="0.25">
      <c r="A45" s="20" t="s">
        <v>21</v>
      </c>
      <c r="B45" s="8">
        <v>0.30017762045987567</v>
      </c>
      <c r="C45" s="8">
        <v>0.28377283068425763</v>
      </c>
      <c r="D45" s="8">
        <v>0</v>
      </c>
      <c r="E45" s="8">
        <v>0.85637236860102051</v>
      </c>
    </row>
    <row r="49" spans="1:5" x14ac:dyDescent="0.25">
      <c r="A49" s="5" t="s">
        <v>108</v>
      </c>
    </row>
    <row r="50" spans="1:5" x14ac:dyDescent="0.25">
      <c r="A50" t="s">
        <v>64</v>
      </c>
      <c r="B50" s="7" t="s">
        <v>65</v>
      </c>
      <c r="C50" s="7" t="s">
        <v>34</v>
      </c>
      <c r="D50" s="14" t="s">
        <v>111</v>
      </c>
      <c r="E50" s="14"/>
    </row>
    <row r="51" spans="1:5" x14ac:dyDescent="0.25">
      <c r="A51" s="20" t="s">
        <v>9</v>
      </c>
      <c r="B51" s="8">
        <v>17.291829661613715</v>
      </c>
      <c r="C51" s="8">
        <v>0.94744432994547512</v>
      </c>
      <c r="D51" s="8">
        <v>15.434838774920584</v>
      </c>
      <c r="E51" s="8">
        <v>19.148820548306848</v>
      </c>
    </row>
    <row r="52" spans="1:5" x14ac:dyDescent="0.25">
      <c r="A52" s="21" t="s">
        <v>10</v>
      </c>
      <c r="B52" s="8">
        <v>6.4261890289470767</v>
      </c>
      <c r="C52" s="8">
        <v>0.81446008797866765</v>
      </c>
      <c r="D52" s="8">
        <v>4.8298472565088879</v>
      </c>
      <c r="E52" s="8">
        <v>8.0225308013852654</v>
      </c>
    </row>
    <row r="53" spans="1:5" x14ac:dyDescent="0.25">
      <c r="A53" s="21" t="s">
        <v>101</v>
      </c>
      <c r="B53" s="8">
        <v>10.866961064926297</v>
      </c>
      <c r="C53" s="8">
        <v>1.118158717998005</v>
      </c>
      <c r="D53" s="8">
        <v>8.6753699776502078</v>
      </c>
      <c r="E53" s="8">
        <v>13.058552152202386</v>
      </c>
    </row>
    <row r="54" spans="1:5" x14ac:dyDescent="0.25">
      <c r="A54" s="22" t="s">
        <v>126</v>
      </c>
      <c r="B54" s="8">
        <v>4.5795721811297803</v>
      </c>
      <c r="C54" s="8">
        <v>1.2546755709315549</v>
      </c>
      <c r="D54" s="8">
        <v>2.1204080621039325</v>
      </c>
      <c r="E54" s="8">
        <v>7.0387363001556285</v>
      </c>
    </row>
    <row r="55" spans="1:5" x14ac:dyDescent="0.25">
      <c r="A55" s="22" t="s">
        <v>103</v>
      </c>
      <c r="B55" s="8">
        <v>6.2948434800331707</v>
      </c>
      <c r="C55" s="8">
        <v>0.8504821474064308</v>
      </c>
      <c r="D55" s="8">
        <v>4.6278984711165663</v>
      </c>
      <c r="E55" s="8">
        <v>7.9617884889497752</v>
      </c>
    </row>
    <row r="56" spans="1:5" x14ac:dyDescent="0.25">
      <c r="A56" s="20" t="s">
        <v>11</v>
      </c>
      <c r="B56" s="8">
        <v>82.708170338386282</v>
      </c>
      <c r="C56" s="8">
        <v>0.94748464149494349</v>
      </c>
      <c r="D56" s="8">
        <v>80.85110044105619</v>
      </c>
      <c r="E56" s="8">
        <v>84.565240235716374</v>
      </c>
    </row>
    <row r="57" spans="1:5" x14ac:dyDescent="0.25">
      <c r="A57" s="21" t="s">
        <v>103</v>
      </c>
      <c r="B57" s="8">
        <v>35.095212894675257</v>
      </c>
      <c r="C57" s="8">
        <v>1.4637340728092896</v>
      </c>
      <c r="D57" s="8">
        <v>32.226294111969047</v>
      </c>
      <c r="E57" s="8">
        <v>37.964131677381467</v>
      </c>
    </row>
    <row r="58" spans="1:5" x14ac:dyDescent="0.25">
      <c r="A58" s="21" t="s">
        <v>38</v>
      </c>
      <c r="B58" s="8">
        <v>22.898742059045869</v>
      </c>
      <c r="C58" s="8">
        <v>1.8181895307450588</v>
      </c>
      <c r="D58" s="8">
        <v>19.335090578785554</v>
      </c>
      <c r="E58" s="8">
        <v>26.462393539306184</v>
      </c>
    </row>
    <row r="59" spans="1:5" x14ac:dyDescent="0.25">
      <c r="A59" s="21" t="s">
        <v>104</v>
      </c>
      <c r="B59" s="8">
        <v>8.5429096421596586</v>
      </c>
      <c r="C59" s="8">
        <v>1.4950325375966864</v>
      </c>
      <c r="D59" s="8">
        <v>5.6126458684701532</v>
      </c>
      <c r="E59" s="8">
        <v>11.473173415849164</v>
      </c>
    </row>
    <row r="60" spans="1:5" x14ac:dyDescent="0.25">
      <c r="A60" s="22" t="s">
        <v>14</v>
      </c>
      <c r="B60" s="8">
        <v>1.5406576096744033</v>
      </c>
      <c r="C60" s="8">
        <v>0.74850039712553507</v>
      </c>
      <c r="D60" s="8">
        <v>7.3596831308354593E-2</v>
      </c>
      <c r="E60" s="8">
        <v>3.0077183880404519</v>
      </c>
    </row>
    <row r="61" spans="1:5" x14ac:dyDescent="0.25">
      <c r="A61" s="22" t="s">
        <v>15</v>
      </c>
      <c r="B61" s="8">
        <v>7.0068817605274587</v>
      </c>
      <c r="C61" s="8">
        <v>1.4099889604714431</v>
      </c>
      <c r="D61" s="8">
        <v>4.2433033980034303</v>
      </c>
      <c r="E61" s="8">
        <v>9.7704601230514871</v>
      </c>
    </row>
    <row r="62" spans="1:5" x14ac:dyDescent="0.25">
      <c r="A62" s="21" t="s">
        <v>105</v>
      </c>
      <c r="B62" s="8">
        <v>16.154790117252752</v>
      </c>
      <c r="C62" s="8">
        <v>0.97766537642997642</v>
      </c>
      <c r="D62" s="8">
        <v>14.238565979449998</v>
      </c>
      <c r="E62" s="8">
        <v>18.071014255055506</v>
      </c>
    </row>
    <row r="63" spans="1:5" x14ac:dyDescent="0.25">
      <c r="A63" s="22" t="s">
        <v>17</v>
      </c>
      <c r="B63" s="8">
        <v>15.807546471364036</v>
      </c>
      <c r="C63" s="8">
        <v>0.95440856299606136</v>
      </c>
      <c r="D63" s="8">
        <v>13.936905687891755</v>
      </c>
      <c r="E63" s="8">
        <v>17.678187254836317</v>
      </c>
    </row>
    <row r="64" spans="1:5" x14ac:dyDescent="0.25">
      <c r="A64" s="22" t="s">
        <v>18</v>
      </c>
      <c r="B64" s="8">
        <v>0.3501866360117889</v>
      </c>
      <c r="C64" s="8">
        <v>0.21817996267480647</v>
      </c>
      <c r="D64" s="8">
        <v>0</v>
      </c>
      <c r="E64" s="8">
        <v>0.77781936285440956</v>
      </c>
    </row>
    <row r="65" spans="1:5" x14ac:dyDescent="0.25">
      <c r="A65" s="20" t="s">
        <v>41</v>
      </c>
      <c r="B65" s="8">
        <v>57.993784192608096</v>
      </c>
      <c r="C65" s="8">
        <v>1.8529215526310872</v>
      </c>
      <c r="D65" s="8">
        <v>54.362057949451163</v>
      </c>
      <c r="E65" s="8">
        <v>61.62551043576503</v>
      </c>
    </row>
    <row r="66" spans="1:5" x14ac:dyDescent="0.25">
      <c r="A66" s="20" t="s">
        <v>106</v>
      </c>
      <c r="B66" s="8">
        <v>23.165304484030742</v>
      </c>
      <c r="C66" s="8">
        <v>1.6178128365822659</v>
      </c>
      <c r="D66" s="8">
        <v>19.994391324329499</v>
      </c>
      <c r="E66" s="8">
        <v>26.336217643731985</v>
      </c>
    </row>
    <row r="67" spans="1:5" x14ac:dyDescent="0.25">
      <c r="A67" s="20" t="s">
        <v>22</v>
      </c>
      <c r="B67" s="8">
        <v>47.608855268932928</v>
      </c>
      <c r="C67" s="8">
        <v>1.5821998382020293</v>
      </c>
      <c r="D67" s="8">
        <v>44.507743586056947</v>
      </c>
      <c r="E67" s="8">
        <v>50.709966951808909</v>
      </c>
    </row>
    <row r="68" spans="1:5" x14ac:dyDescent="0.25">
      <c r="A68" s="20" t="s">
        <v>42</v>
      </c>
      <c r="B68" s="8">
        <v>75.295034992499836</v>
      </c>
      <c r="C68" s="8">
        <v>1.6876871693553714</v>
      </c>
      <c r="D68" s="8">
        <v>71.987168140563313</v>
      </c>
      <c r="E68" s="8">
        <v>78.60290184443636</v>
      </c>
    </row>
    <row r="69" spans="1:5" x14ac:dyDescent="0.25">
      <c r="A69" s="20" t="s">
        <v>21</v>
      </c>
      <c r="B69" s="8">
        <v>24.704965007500164</v>
      </c>
      <c r="C69" s="8">
        <v>1.6875181478130721</v>
      </c>
      <c r="D69" s="8">
        <v>21.397429437786542</v>
      </c>
      <c r="E69" s="8">
        <v>28.012500577213785</v>
      </c>
    </row>
  </sheetData>
  <mergeCells count="15">
    <mergeCell ref="BL2:BM2"/>
    <mergeCell ref="BR2:BS2"/>
    <mergeCell ref="BX2:BY2"/>
    <mergeCell ref="AB2:AC2"/>
    <mergeCell ref="AH2:AI2"/>
    <mergeCell ref="AN2:AO2"/>
    <mergeCell ref="AT2:AU2"/>
    <mergeCell ref="AZ2:BA2"/>
    <mergeCell ref="BF2:BG2"/>
    <mergeCell ref="D2:E2"/>
    <mergeCell ref="D26:E26"/>
    <mergeCell ref="D50:E50"/>
    <mergeCell ref="J2:K2"/>
    <mergeCell ref="P2:Q2"/>
    <mergeCell ref="V2:W2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B6122-A31E-41E1-9789-771F41211E80}">
  <dimension ref="A1:AU69"/>
  <sheetViews>
    <sheetView workbookViewId="0">
      <selection activeCell="G25" sqref="G25:G43"/>
    </sheetView>
  </sheetViews>
  <sheetFormatPr defaultRowHeight="15" x14ac:dyDescent="0.25"/>
  <cols>
    <col min="1" max="1" width="22.140625" customWidth="1"/>
  </cols>
  <sheetData>
    <row r="1" spans="1:47" x14ac:dyDescent="0.25">
      <c r="A1" s="5" t="s">
        <v>251</v>
      </c>
      <c r="G1" s="12" t="s">
        <v>253</v>
      </c>
      <c r="I1" s="12" t="s">
        <v>254</v>
      </c>
      <c r="M1" s="12" t="s">
        <v>255</v>
      </c>
      <c r="O1" s="12" t="s">
        <v>110</v>
      </c>
      <c r="S1" s="12" t="s">
        <v>256</v>
      </c>
      <c r="U1" s="12" t="s">
        <v>110</v>
      </c>
      <c r="Y1" s="12" t="s">
        <v>257</v>
      </c>
      <c r="AA1" s="12" t="s">
        <v>110</v>
      </c>
      <c r="AE1" s="12" t="s">
        <v>258</v>
      </c>
      <c r="AG1" s="12" t="s">
        <v>110</v>
      </c>
      <c r="AK1" s="12" t="s">
        <v>259</v>
      </c>
      <c r="AM1" s="12" t="s">
        <v>110</v>
      </c>
      <c r="AQ1" s="12" t="s">
        <v>260</v>
      </c>
      <c r="AS1" s="12" t="s">
        <v>110</v>
      </c>
    </row>
    <row r="2" spans="1:47" x14ac:dyDescent="0.25">
      <c r="A2" t="s">
        <v>64</v>
      </c>
      <c r="B2" s="7" t="s">
        <v>65</v>
      </c>
      <c r="C2" s="7" t="s">
        <v>34</v>
      </c>
      <c r="D2" s="14" t="s">
        <v>111</v>
      </c>
      <c r="E2" s="14"/>
      <c r="G2" t="s">
        <v>64</v>
      </c>
      <c r="H2" s="7" t="s">
        <v>65</v>
      </c>
      <c r="I2" s="7" t="s">
        <v>34</v>
      </c>
      <c r="J2" s="14" t="s">
        <v>111</v>
      </c>
      <c r="K2" s="14"/>
      <c r="M2" t="s">
        <v>64</v>
      </c>
      <c r="N2" s="7" t="s">
        <v>65</v>
      </c>
      <c r="O2" s="7" t="s">
        <v>34</v>
      </c>
      <c r="P2" s="14" t="s">
        <v>111</v>
      </c>
      <c r="Q2" s="14"/>
      <c r="S2" t="s">
        <v>64</v>
      </c>
      <c r="T2" s="7" t="s">
        <v>65</v>
      </c>
      <c r="U2" s="7" t="s">
        <v>34</v>
      </c>
      <c r="V2" s="14" t="s">
        <v>111</v>
      </c>
      <c r="W2" s="14"/>
      <c r="Y2" t="s">
        <v>64</v>
      </c>
      <c r="Z2" s="7" t="s">
        <v>65</v>
      </c>
      <c r="AA2" s="7" t="s">
        <v>34</v>
      </c>
      <c r="AB2" s="14" t="s">
        <v>111</v>
      </c>
      <c r="AC2" s="14"/>
      <c r="AE2" t="s">
        <v>64</v>
      </c>
      <c r="AF2" s="7" t="s">
        <v>65</v>
      </c>
      <c r="AG2" s="7" t="s">
        <v>34</v>
      </c>
      <c r="AH2" s="14" t="s">
        <v>111</v>
      </c>
      <c r="AI2" s="14"/>
      <c r="AK2" t="s">
        <v>64</v>
      </c>
      <c r="AL2" s="7" t="s">
        <v>65</v>
      </c>
      <c r="AM2" s="7" t="s">
        <v>34</v>
      </c>
      <c r="AN2" s="14" t="s">
        <v>111</v>
      </c>
      <c r="AO2" s="14"/>
      <c r="AQ2" t="s">
        <v>64</v>
      </c>
      <c r="AR2" s="7" t="s">
        <v>65</v>
      </c>
      <c r="AS2" s="7" t="s">
        <v>34</v>
      </c>
      <c r="AT2" s="14" t="s">
        <v>111</v>
      </c>
      <c r="AU2" s="14"/>
    </row>
    <row r="3" spans="1:47" x14ac:dyDescent="0.25">
      <c r="A3" s="20" t="s">
        <v>9</v>
      </c>
      <c r="B3" s="8">
        <v>74.849306939556172</v>
      </c>
      <c r="C3" s="8">
        <v>0.71746817950679254</v>
      </c>
      <c r="D3" s="8">
        <v>73.443069307722865</v>
      </c>
      <c r="E3" s="8">
        <v>76.255544571389478</v>
      </c>
      <c r="G3" s="20" t="s">
        <v>9</v>
      </c>
      <c r="H3" s="11">
        <v>99.585999999999999</v>
      </c>
      <c r="I3" s="11">
        <v>0.6</v>
      </c>
      <c r="J3" s="11">
        <v>97.8</v>
      </c>
      <c r="K3" s="11">
        <v>100</v>
      </c>
      <c r="M3" s="20" t="s">
        <v>9</v>
      </c>
      <c r="N3" s="11">
        <v>99.081999999999994</v>
      </c>
      <c r="O3" s="11">
        <v>1.0109999999999999</v>
      </c>
      <c r="P3" s="11">
        <v>96.4</v>
      </c>
      <c r="Q3" s="11">
        <v>100</v>
      </c>
      <c r="S3" s="20" t="s">
        <v>9</v>
      </c>
      <c r="T3" s="11">
        <v>98.653000000000006</v>
      </c>
      <c r="U3" s="11">
        <v>1.2150000000000001</v>
      </c>
      <c r="V3" s="11">
        <v>95.6</v>
      </c>
      <c r="W3" s="11">
        <v>100</v>
      </c>
      <c r="Y3" s="20" t="s">
        <v>9</v>
      </c>
      <c r="Z3" s="11">
        <v>88.262</v>
      </c>
      <c r="AA3" s="11">
        <v>2.5950000000000002</v>
      </c>
      <c r="AB3" s="11">
        <v>82.8</v>
      </c>
      <c r="AC3" s="11">
        <v>92.902000000000001</v>
      </c>
      <c r="AE3" s="20" t="s">
        <v>9</v>
      </c>
      <c r="AF3" s="11">
        <v>36.536000000000001</v>
      </c>
      <c r="AG3" s="11">
        <v>3.6640000000000001</v>
      </c>
      <c r="AH3" s="11">
        <v>29.5</v>
      </c>
      <c r="AI3" s="11">
        <v>43.8</v>
      </c>
      <c r="AK3" s="20" t="s">
        <v>9</v>
      </c>
      <c r="AL3" s="11">
        <v>10.635999999999999</v>
      </c>
      <c r="AM3" s="11">
        <v>2.52</v>
      </c>
      <c r="AN3" s="11">
        <v>6.3</v>
      </c>
      <c r="AO3" s="11">
        <v>16.100000000000001</v>
      </c>
      <c r="AQ3" s="20" t="s">
        <v>9</v>
      </c>
      <c r="AR3" s="11">
        <v>1.1100000000000001</v>
      </c>
      <c r="AS3" s="11">
        <v>0.87</v>
      </c>
      <c r="AT3" s="11">
        <v>0.1</v>
      </c>
      <c r="AU3" s="11">
        <v>3.3</v>
      </c>
    </row>
    <row r="4" spans="1:47" x14ac:dyDescent="0.25">
      <c r="A4" s="21" t="s">
        <v>10</v>
      </c>
      <c r="B4" s="8">
        <v>55.552569208360715</v>
      </c>
      <c r="C4" s="8">
        <v>3.5999783915713763</v>
      </c>
      <c r="D4" s="8">
        <v>48.496611560880815</v>
      </c>
      <c r="E4" s="8">
        <v>62.608526855840616</v>
      </c>
      <c r="G4" s="21" t="s">
        <v>10</v>
      </c>
      <c r="H4" s="11">
        <v>80.361000000000004</v>
      </c>
      <c r="I4" s="11">
        <v>8.0350000000000001</v>
      </c>
      <c r="J4" s="11">
        <v>65.2</v>
      </c>
      <c r="K4" s="11">
        <v>96.3</v>
      </c>
      <c r="M4" s="21" t="s">
        <v>10</v>
      </c>
      <c r="N4" s="11">
        <v>71.05</v>
      </c>
      <c r="O4" s="11">
        <v>7.2060000000000004</v>
      </c>
      <c r="P4" s="11">
        <v>57.298000000000002</v>
      </c>
      <c r="Q4" s="11">
        <v>85.6</v>
      </c>
      <c r="S4" s="21" t="s">
        <v>10</v>
      </c>
      <c r="T4" s="11">
        <v>87.733999999999995</v>
      </c>
      <c r="U4" s="11">
        <v>5.9809999999999999</v>
      </c>
      <c r="V4" s="11">
        <v>75.3</v>
      </c>
      <c r="W4" s="11">
        <v>96.8</v>
      </c>
      <c r="Y4" s="21" t="s">
        <v>10</v>
      </c>
      <c r="Z4" s="11">
        <v>63.923000000000002</v>
      </c>
      <c r="AA4" s="11">
        <v>5.8380000000000001</v>
      </c>
      <c r="AB4" s="11">
        <v>52.3</v>
      </c>
      <c r="AC4" s="11">
        <v>74.900000000000006</v>
      </c>
      <c r="AE4" s="21" t="s">
        <v>10</v>
      </c>
      <c r="AF4" s="11">
        <v>23.254999999999999</v>
      </c>
      <c r="AG4" s="11">
        <v>4.665</v>
      </c>
      <c r="AH4" s="11">
        <v>14.4</v>
      </c>
      <c r="AI4" s="11">
        <v>32.101999999999997</v>
      </c>
      <c r="AK4" s="21" t="s">
        <v>10</v>
      </c>
      <c r="AL4" s="11">
        <v>7.5990000000000002</v>
      </c>
      <c r="AM4" s="11">
        <v>2.331</v>
      </c>
      <c r="AN4" s="11">
        <v>2.9</v>
      </c>
      <c r="AO4" s="11">
        <v>12.2</v>
      </c>
      <c r="AQ4" s="21" t="s">
        <v>10</v>
      </c>
      <c r="AR4" s="11">
        <v>0.70399999999999996</v>
      </c>
      <c r="AS4" s="11">
        <v>0.61299999999999999</v>
      </c>
      <c r="AT4" s="11">
        <v>0</v>
      </c>
      <c r="AU4" s="11">
        <v>2.2999999999999998</v>
      </c>
    </row>
    <row r="5" spans="1:47" x14ac:dyDescent="0.25">
      <c r="A5" s="21" t="s">
        <v>101</v>
      </c>
      <c r="B5" s="8">
        <v>19.273910102918151</v>
      </c>
      <c r="C5" s="8">
        <v>3.6342448043912561</v>
      </c>
      <c r="D5" s="8">
        <v>12.150790286311288</v>
      </c>
      <c r="E5" s="8">
        <v>26.397029919525014</v>
      </c>
      <c r="G5" s="21" t="s">
        <v>101</v>
      </c>
      <c r="H5" s="11">
        <v>19.172000000000001</v>
      </c>
      <c r="I5" s="11">
        <v>8.077</v>
      </c>
      <c r="J5" s="11">
        <v>3.1</v>
      </c>
      <c r="K5" s="11">
        <v>34.4</v>
      </c>
      <c r="M5" s="21" t="s">
        <v>101</v>
      </c>
      <c r="N5" s="11">
        <v>27.998999999999999</v>
      </c>
      <c r="O5" s="11">
        <v>7.2539999999999996</v>
      </c>
      <c r="P5" s="11">
        <v>13.3</v>
      </c>
      <c r="Q5" s="11">
        <v>41.9</v>
      </c>
      <c r="S5" s="21" t="s">
        <v>101</v>
      </c>
      <c r="T5" s="11">
        <v>10.877000000000001</v>
      </c>
      <c r="U5" s="11">
        <v>6.085</v>
      </c>
      <c r="V5" s="11">
        <v>1.8</v>
      </c>
      <c r="W5" s="11">
        <v>23.6</v>
      </c>
      <c r="Y5" s="21" t="s">
        <v>101</v>
      </c>
      <c r="Z5" s="11">
        <v>24.335999999999999</v>
      </c>
      <c r="AA5" s="11">
        <v>6.0759999999999996</v>
      </c>
      <c r="AB5" s="11">
        <v>12.8</v>
      </c>
      <c r="AC5" s="11">
        <v>36.4</v>
      </c>
      <c r="AE5" s="21" t="s">
        <v>101</v>
      </c>
      <c r="AF5" s="11">
        <v>13.281000000000001</v>
      </c>
      <c r="AG5" s="11">
        <v>4.9960000000000004</v>
      </c>
      <c r="AH5" s="11">
        <v>4.3</v>
      </c>
      <c r="AI5" s="11">
        <v>23.1</v>
      </c>
      <c r="AK5" s="21" t="s">
        <v>101</v>
      </c>
      <c r="AL5" s="11">
        <v>3.032</v>
      </c>
      <c r="AM5" s="11">
        <v>2.6949999999999998</v>
      </c>
      <c r="AN5" s="11">
        <v>0</v>
      </c>
      <c r="AO5" s="11">
        <v>9.3000000000000007</v>
      </c>
      <c r="AQ5" s="21" t="s">
        <v>101</v>
      </c>
      <c r="AR5" s="11">
        <v>0.40799999999999997</v>
      </c>
      <c r="AS5" s="11">
        <v>0.61299999999999999</v>
      </c>
      <c r="AT5" s="11">
        <v>0</v>
      </c>
      <c r="AU5" s="11">
        <v>2.2000000000000002</v>
      </c>
    </row>
    <row r="6" spans="1:47" x14ac:dyDescent="0.25">
      <c r="A6" s="22" t="s">
        <v>126</v>
      </c>
      <c r="B6" s="8">
        <v>13.505554817312813</v>
      </c>
      <c r="C6" s="8">
        <v>3.9639436116348086</v>
      </c>
      <c r="D6" s="8">
        <v>5.7362253385085884</v>
      </c>
      <c r="E6" s="8">
        <v>21.274884296117037</v>
      </c>
      <c r="G6" s="22" t="s">
        <v>126</v>
      </c>
      <c r="H6" s="11">
        <v>18.276</v>
      </c>
      <c r="I6" s="11">
        <v>8.4710000000000001</v>
      </c>
      <c r="J6" s="11">
        <v>0.8</v>
      </c>
      <c r="K6" s="11">
        <v>34.1</v>
      </c>
      <c r="M6" s="22" t="s">
        <v>126</v>
      </c>
      <c r="N6" s="11">
        <v>20.372</v>
      </c>
      <c r="O6" s="11">
        <v>7.9210000000000003</v>
      </c>
      <c r="P6" s="11">
        <v>3.9</v>
      </c>
      <c r="Q6" s="11">
        <v>35.4</v>
      </c>
      <c r="S6" s="22" t="s">
        <v>126</v>
      </c>
      <c r="T6" s="11">
        <v>7.6280000000000001</v>
      </c>
      <c r="U6" s="11">
        <v>6.577</v>
      </c>
      <c r="V6" s="11">
        <v>0</v>
      </c>
      <c r="W6" s="11">
        <v>21.302</v>
      </c>
      <c r="Y6" s="22" t="s">
        <v>126</v>
      </c>
      <c r="Z6" s="11">
        <v>11.214</v>
      </c>
      <c r="AA6" s="11">
        <v>6.4640000000000004</v>
      </c>
      <c r="AB6" s="11">
        <v>0.1</v>
      </c>
      <c r="AC6" s="11">
        <v>24.4</v>
      </c>
      <c r="AE6" s="22" t="s">
        <v>126</v>
      </c>
      <c r="AF6" s="11">
        <v>8.6029999999999998</v>
      </c>
      <c r="AG6" s="11">
        <v>5.577</v>
      </c>
      <c r="AH6" s="11">
        <v>0</v>
      </c>
      <c r="AI6" s="11">
        <v>20.100000000000001</v>
      </c>
      <c r="AK6" s="22" t="s">
        <v>126</v>
      </c>
      <c r="AL6" s="11">
        <v>2.972</v>
      </c>
      <c r="AM6" s="11">
        <v>2.6859999999999999</v>
      </c>
      <c r="AN6" s="11">
        <v>0</v>
      </c>
      <c r="AO6" s="11">
        <v>9.1020000000000003</v>
      </c>
      <c r="AQ6" s="22" t="s">
        <v>126</v>
      </c>
      <c r="AR6" s="11">
        <v>0.21299999999999999</v>
      </c>
      <c r="AS6" s="11">
        <v>0.439</v>
      </c>
      <c r="AT6" s="11">
        <v>0</v>
      </c>
      <c r="AU6" s="11">
        <v>1.5</v>
      </c>
    </row>
    <row r="7" spans="1:47" x14ac:dyDescent="0.25">
      <c r="A7" s="22" t="s">
        <v>103</v>
      </c>
      <c r="B7" s="8">
        <v>5.7587038083240403</v>
      </c>
      <c r="C7" s="8">
        <v>1.3841706625553822</v>
      </c>
      <c r="D7" s="8">
        <v>3.0457293097154912</v>
      </c>
      <c r="E7" s="8">
        <v>8.4716783069325885</v>
      </c>
      <c r="G7" s="22" t="s">
        <v>103</v>
      </c>
      <c r="H7" s="11">
        <v>0.88900000000000001</v>
      </c>
      <c r="I7" s="11">
        <v>1.6910000000000001</v>
      </c>
      <c r="J7" s="11">
        <v>0</v>
      </c>
      <c r="K7" s="11">
        <v>6</v>
      </c>
      <c r="M7" s="22" t="s">
        <v>103</v>
      </c>
      <c r="N7" s="11">
        <v>7.6059999999999999</v>
      </c>
      <c r="O7" s="11">
        <v>2.6819999999999999</v>
      </c>
      <c r="P7" s="11">
        <v>2.7</v>
      </c>
      <c r="Q7" s="11">
        <v>13.2</v>
      </c>
      <c r="S7" s="22" t="s">
        <v>103</v>
      </c>
      <c r="T7" s="11">
        <v>3.242</v>
      </c>
      <c r="U7" s="11">
        <v>2.032</v>
      </c>
      <c r="V7" s="11">
        <v>0</v>
      </c>
      <c r="W7" s="11">
        <v>7.6</v>
      </c>
      <c r="Y7" s="22" t="s">
        <v>103</v>
      </c>
      <c r="Z7" s="11">
        <v>13.114000000000001</v>
      </c>
      <c r="AA7" s="11">
        <v>3.4420000000000002</v>
      </c>
      <c r="AB7" s="11">
        <v>6.4</v>
      </c>
      <c r="AC7" s="11">
        <v>20</v>
      </c>
      <c r="AE7" s="22" t="s">
        <v>103</v>
      </c>
      <c r="AF7" s="11">
        <v>4.6790000000000003</v>
      </c>
      <c r="AG7" s="11">
        <v>3.1749999999999998</v>
      </c>
      <c r="AH7" s="11">
        <v>0</v>
      </c>
      <c r="AI7" s="11">
        <v>11.2</v>
      </c>
      <c r="AK7" s="22" t="s">
        <v>103</v>
      </c>
      <c r="AL7" s="11">
        <v>7.0000000000000007E-2</v>
      </c>
      <c r="AM7" s="11">
        <v>0.248</v>
      </c>
      <c r="AN7" s="11">
        <v>0</v>
      </c>
      <c r="AO7" s="11">
        <v>0.7</v>
      </c>
      <c r="AQ7" s="22" t="s">
        <v>103</v>
      </c>
      <c r="AR7" s="11">
        <v>0.20799999999999999</v>
      </c>
      <c r="AS7" s="11">
        <v>0.45100000000000001</v>
      </c>
      <c r="AT7" s="11">
        <v>0</v>
      </c>
      <c r="AU7" s="11">
        <v>1.7</v>
      </c>
    </row>
    <row r="8" spans="1:47" x14ac:dyDescent="0.25">
      <c r="A8" s="20" t="s">
        <v>11</v>
      </c>
      <c r="B8" s="8">
        <v>25.150693060443828</v>
      </c>
      <c r="C8" s="8">
        <v>0.71778161064651191</v>
      </c>
      <c r="D8" s="8">
        <v>23.743841103576663</v>
      </c>
      <c r="E8" s="8">
        <v>26.557545017310993</v>
      </c>
      <c r="G8" s="20" t="s">
        <v>11</v>
      </c>
      <c r="H8" s="11">
        <v>0.41399999999999998</v>
      </c>
      <c r="I8" s="11">
        <v>0.60099999999999998</v>
      </c>
      <c r="J8" s="11">
        <v>0</v>
      </c>
      <c r="K8" s="11">
        <v>2.2000000000000002</v>
      </c>
      <c r="M8" s="20" t="s">
        <v>11</v>
      </c>
      <c r="N8" s="11">
        <v>0.91800000000000004</v>
      </c>
      <c r="O8" s="11">
        <v>1.012</v>
      </c>
      <c r="P8" s="11">
        <v>0</v>
      </c>
      <c r="Q8" s="11">
        <v>3.6</v>
      </c>
      <c r="S8" s="20" t="s">
        <v>11</v>
      </c>
      <c r="T8" s="11">
        <v>1.347</v>
      </c>
      <c r="U8" s="11">
        <v>1.2150000000000001</v>
      </c>
      <c r="V8" s="11">
        <v>0</v>
      </c>
      <c r="W8" s="11">
        <v>4.4000000000000004</v>
      </c>
      <c r="Y8" s="20" t="s">
        <v>11</v>
      </c>
      <c r="Z8" s="11">
        <v>11.738</v>
      </c>
      <c r="AA8" s="11">
        <v>2.5939999999999999</v>
      </c>
      <c r="AB8" s="11">
        <v>7</v>
      </c>
      <c r="AC8" s="11">
        <v>17.100000000000001</v>
      </c>
      <c r="AE8" s="20" t="s">
        <v>11</v>
      </c>
      <c r="AF8" s="11">
        <v>63.463999999999999</v>
      </c>
      <c r="AG8" s="11">
        <v>3.6640000000000001</v>
      </c>
      <c r="AH8" s="11">
        <v>56.1</v>
      </c>
      <c r="AI8" s="11">
        <v>70.5</v>
      </c>
      <c r="AK8" s="20" t="s">
        <v>11</v>
      </c>
      <c r="AL8" s="11">
        <v>89.364000000000004</v>
      </c>
      <c r="AM8" s="11">
        <v>2.52</v>
      </c>
      <c r="AN8" s="11">
        <v>83.9</v>
      </c>
      <c r="AO8" s="11">
        <v>93.7</v>
      </c>
      <c r="AQ8" s="20" t="s">
        <v>11</v>
      </c>
      <c r="AR8" s="11">
        <v>98.89</v>
      </c>
      <c r="AS8" s="11">
        <v>0.872</v>
      </c>
      <c r="AT8" s="11">
        <v>96.6</v>
      </c>
      <c r="AU8" s="11">
        <v>99.9</v>
      </c>
    </row>
    <row r="9" spans="1:47" x14ac:dyDescent="0.25">
      <c r="A9" s="21" t="s">
        <v>103</v>
      </c>
      <c r="B9" s="8">
        <v>9.40737679787693</v>
      </c>
      <c r="C9" s="8">
        <v>0.65368749392079839</v>
      </c>
      <c r="D9" s="8">
        <v>8.1261493097921651</v>
      </c>
      <c r="E9" s="8">
        <v>10.688604285961695</v>
      </c>
      <c r="G9" s="21" t="s">
        <v>103</v>
      </c>
      <c r="H9" s="11">
        <v>0.13600000000000001</v>
      </c>
      <c r="I9" s="11">
        <v>0.315</v>
      </c>
      <c r="J9" s="11">
        <v>0</v>
      </c>
      <c r="K9" s="11">
        <v>1</v>
      </c>
      <c r="M9" s="21" t="s">
        <v>103</v>
      </c>
      <c r="N9" s="11">
        <v>0.438</v>
      </c>
      <c r="O9" s="11">
        <v>0.68799999999999994</v>
      </c>
      <c r="P9" s="11">
        <v>0</v>
      </c>
      <c r="Q9" s="11">
        <v>2.5</v>
      </c>
      <c r="S9" s="21" t="s">
        <v>103</v>
      </c>
      <c r="T9" s="11">
        <v>0.27300000000000002</v>
      </c>
      <c r="U9" s="11">
        <v>0.505</v>
      </c>
      <c r="V9" s="11">
        <v>0</v>
      </c>
      <c r="W9" s="11">
        <v>1.8</v>
      </c>
      <c r="Y9" s="21" t="s">
        <v>103</v>
      </c>
      <c r="Z9" s="11">
        <v>0.48599999999999999</v>
      </c>
      <c r="AA9" s="11">
        <v>0.79900000000000004</v>
      </c>
      <c r="AB9" s="11">
        <v>0</v>
      </c>
      <c r="AC9" s="11">
        <v>2.8</v>
      </c>
      <c r="AE9" s="21" t="s">
        <v>103</v>
      </c>
      <c r="AF9" s="11">
        <v>10.661</v>
      </c>
      <c r="AG9" s="11">
        <v>2.855</v>
      </c>
      <c r="AH9" s="11">
        <v>5.4</v>
      </c>
      <c r="AI9" s="11">
        <v>16.5</v>
      </c>
      <c r="AK9" s="21" t="s">
        <v>103</v>
      </c>
      <c r="AL9" s="11">
        <v>31.088999999999999</v>
      </c>
      <c r="AM9" s="11">
        <v>3.6949999999999998</v>
      </c>
      <c r="AN9" s="11">
        <v>24.097999999999999</v>
      </c>
      <c r="AO9" s="11">
        <v>38.4</v>
      </c>
      <c r="AQ9" s="21" t="s">
        <v>103</v>
      </c>
      <c r="AR9" s="11">
        <v>57.945999999999998</v>
      </c>
      <c r="AS9" s="11">
        <v>3.75</v>
      </c>
      <c r="AT9" s="11">
        <v>50.5</v>
      </c>
      <c r="AU9" s="11">
        <v>65.099999999999994</v>
      </c>
    </row>
    <row r="10" spans="1:47" x14ac:dyDescent="0.25">
      <c r="A10" s="21" t="s">
        <v>38</v>
      </c>
      <c r="B10" s="8">
        <v>7.6602359227759109</v>
      </c>
      <c r="C10" s="8">
        <v>0.94838218916930195</v>
      </c>
      <c r="D10" s="8">
        <v>5.801406832004079</v>
      </c>
      <c r="E10" s="8">
        <v>9.5190650135477419</v>
      </c>
      <c r="G10" s="21" t="s">
        <v>38</v>
      </c>
      <c r="H10" s="11">
        <v>0.13100000000000001</v>
      </c>
      <c r="I10" s="11">
        <v>0.38400000000000001</v>
      </c>
      <c r="J10" s="11">
        <v>0</v>
      </c>
      <c r="K10" s="11">
        <v>1.2</v>
      </c>
      <c r="M10" s="21" t="s">
        <v>38</v>
      </c>
      <c r="N10" s="11">
        <v>0.29599999999999999</v>
      </c>
      <c r="O10" s="11">
        <v>0.67400000000000004</v>
      </c>
      <c r="P10" s="11">
        <v>0</v>
      </c>
      <c r="Q10" s="11">
        <v>2.5</v>
      </c>
      <c r="S10" s="21" t="s">
        <v>38</v>
      </c>
      <c r="T10" s="11">
        <v>0.42499999999999999</v>
      </c>
      <c r="U10" s="11">
        <v>0.85099999999999998</v>
      </c>
      <c r="V10" s="11">
        <v>0</v>
      </c>
      <c r="W10" s="11">
        <v>3.1</v>
      </c>
      <c r="Y10" s="21" t="s">
        <v>38</v>
      </c>
      <c r="Z10" s="11">
        <v>7.1349999999999998</v>
      </c>
      <c r="AA10" s="11">
        <v>3.2829999999999999</v>
      </c>
      <c r="AB10" s="11">
        <v>0.2</v>
      </c>
      <c r="AC10" s="11">
        <v>13.6</v>
      </c>
      <c r="AE10" s="21" t="s">
        <v>38</v>
      </c>
      <c r="AF10" s="11">
        <v>19.082999999999998</v>
      </c>
      <c r="AG10" s="11">
        <v>4.923</v>
      </c>
      <c r="AH10" s="11">
        <v>9.8000000000000007</v>
      </c>
      <c r="AI10" s="11">
        <v>29</v>
      </c>
      <c r="AK10" s="21" t="s">
        <v>38</v>
      </c>
      <c r="AL10" s="11">
        <v>36.552999999999997</v>
      </c>
      <c r="AM10" s="11">
        <v>5.4729999999999999</v>
      </c>
      <c r="AN10" s="11">
        <v>25.2</v>
      </c>
      <c r="AO10" s="11">
        <v>46.4</v>
      </c>
      <c r="AQ10" s="21" t="s">
        <v>38</v>
      </c>
      <c r="AR10" s="11">
        <v>18.331</v>
      </c>
      <c r="AS10" s="11">
        <v>4.883</v>
      </c>
      <c r="AT10" s="11">
        <v>9.5</v>
      </c>
      <c r="AU10" s="11">
        <v>28.4</v>
      </c>
    </row>
    <row r="11" spans="1:47" x14ac:dyDescent="0.25">
      <c r="A11" s="21" t="s">
        <v>104</v>
      </c>
      <c r="B11" s="8">
        <v>4.0120014962691437</v>
      </c>
      <c r="C11" s="8">
        <v>0.80936468748447721</v>
      </c>
      <c r="D11" s="8">
        <v>2.4256467087995683</v>
      </c>
      <c r="E11" s="8">
        <v>5.5983562837387186</v>
      </c>
      <c r="G11" s="21" t="s">
        <v>104</v>
      </c>
      <c r="H11" s="11">
        <v>0.14799999999999999</v>
      </c>
      <c r="I11" s="11">
        <v>0.32300000000000001</v>
      </c>
      <c r="J11" s="11">
        <v>0</v>
      </c>
      <c r="K11" s="11">
        <v>1.1000000000000001</v>
      </c>
      <c r="M11" s="21" t="s">
        <v>104</v>
      </c>
      <c r="N11" s="11">
        <v>0.18099999999999999</v>
      </c>
      <c r="O11" s="11">
        <v>0.36899999999999999</v>
      </c>
      <c r="P11" s="11">
        <v>0</v>
      </c>
      <c r="Q11" s="11">
        <v>1.4</v>
      </c>
      <c r="S11" s="21" t="s">
        <v>104</v>
      </c>
      <c r="T11" s="11">
        <v>0.61899999999999999</v>
      </c>
      <c r="U11" s="11">
        <v>0.94499999999999995</v>
      </c>
      <c r="V11" s="11">
        <v>0</v>
      </c>
      <c r="W11" s="11">
        <v>3.3</v>
      </c>
      <c r="Y11" s="21" t="s">
        <v>104</v>
      </c>
      <c r="Z11" s="11">
        <v>2.9209999999999998</v>
      </c>
      <c r="AA11" s="11">
        <v>2.569</v>
      </c>
      <c r="AB11" s="11">
        <v>0</v>
      </c>
      <c r="AC11" s="11">
        <v>8.5</v>
      </c>
      <c r="AE11" s="21" t="s">
        <v>104</v>
      </c>
      <c r="AF11" s="11">
        <v>21.835999999999999</v>
      </c>
      <c r="AG11" s="11">
        <v>4.8120000000000003</v>
      </c>
      <c r="AH11" s="11">
        <v>12.9</v>
      </c>
      <c r="AI11" s="11">
        <v>31.6</v>
      </c>
      <c r="AK11" s="21" t="s">
        <v>104</v>
      </c>
      <c r="AL11" s="11">
        <v>3.5579999999999998</v>
      </c>
      <c r="AM11" s="11">
        <v>4.2960000000000003</v>
      </c>
      <c r="AN11" s="11">
        <v>0</v>
      </c>
      <c r="AO11" s="11">
        <v>13.5</v>
      </c>
      <c r="AQ11" s="21" t="s">
        <v>104</v>
      </c>
      <c r="AR11" s="11">
        <v>10.11</v>
      </c>
      <c r="AS11" s="11">
        <v>4.3179999999999996</v>
      </c>
      <c r="AT11" s="11">
        <v>2.2000000000000002</v>
      </c>
      <c r="AU11" s="11">
        <v>19</v>
      </c>
    </row>
    <row r="12" spans="1:47" x14ac:dyDescent="0.25">
      <c r="A12" s="22" t="s">
        <v>14</v>
      </c>
      <c r="B12" s="8">
        <v>1.563795662202849</v>
      </c>
      <c r="C12" s="8">
        <v>0.71952220802764866</v>
      </c>
      <c r="D12" s="8">
        <v>0.15353213446865777</v>
      </c>
      <c r="E12" s="8">
        <v>2.9740591899370403</v>
      </c>
      <c r="G12" s="22" t="s">
        <v>14</v>
      </c>
      <c r="H12" s="11">
        <v>7.2999999999999995E-2</v>
      </c>
      <c r="I12" s="11">
        <v>0.247</v>
      </c>
      <c r="J12" s="11">
        <v>0</v>
      </c>
      <c r="K12" s="11">
        <v>0.8</v>
      </c>
      <c r="M12" s="22" t="s">
        <v>14</v>
      </c>
      <c r="N12" s="11">
        <v>9.0999999999999998E-2</v>
      </c>
      <c r="O12" s="11">
        <v>0.28999999999999998</v>
      </c>
      <c r="P12" s="11">
        <v>0</v>
      </c>
      <c r="Q12" s="11">
        <v>1</v>
      </c>
      <c r="S12" s="22" t="s">
        <v>14</v>
      </c>
      <c r="T12" s="11">
        <v>0.32500000000000001</v>
      </c>
      <c r="U12" s="11">
        <v>0.82299999999999995</v>
      </c>
      <c r="V12" s="11">
        <v>0</v>
      </c>
      <c r="W12" s="11">
        <v>2.9</v>
      </c>
      <c r="Y12" s="22" t="s">
        <v>14</v>
      </c>
      <c r="Z12" s="11">
        <v>2.7189999999999999</v>
      </c>
      <c r="AA12" s="11">
        <v>2.5840000000000001</v>
      </c>
      <c r="AB12" s="11">
        <v>0</v>
      </c>
      <c r="AC12" s="11">
        <v>8.3019999999999996</v>
      </c>
      <c r="AE12" s="22" t="s">
        <v>14</v>
      </c>
      <c r="AF12" s="11">
        <v>5.86</v>
      </c>
      <c r="AG12" s="11">
        <v>4.1020000000000003</v>
      </c>
      <c r="AH12" s="11">
        <v>0</v>
      </c>
      <c r="AI12" s="11">
        <v>14</v>
      </c>
      <c r="AK12" s="22" t="s">
        <v>14</v>
      </c>
      <c r="AL12" s="11">
        <v>3.319</v>
      </c>
      <c r="AM12" s="11">
        <v>4.2960000000000003</v>
      </c>
      <c r="AN12" s="11">
        <v>0</v>
      </c>
      <c r="AO12" s="11">
        <v>13.4</v>
      </c>
      <c r="AQ12" s="22" t="s">
        <v>14</v>
      </c>
      <c r="AR12" s="11">
        <v>3.4870000000000001</v>
      </c>
      <c r="AS12" s="11">
        <v>3.5750000000000002</v>
      </c>
      <c r="AT12" s="11">
        <v>0</v>
      </c>
      <c r="AU12" s="11">
        <v>11.1</v>
      </c>
    </row>
    <row r="13" spans="1:47" x14ac:dyDescent="0.25">
      <c r="A13" s="22" t="s">
        <v>15</v>
      </c>
      <c r="B13" s="8">
        <v>2.4534946791633918</v>
      </c>
      <c r="C13" s="8">
        <v>0.5897044075632436</v>
      </c>
      <c r="D13" s="8">
        <v>1.2976740403394345</v>
      </c>
      <c r="E13" s="8">
        <v>3.6093153179873489</v>
      </c>
      <c r="G13" s="22" t="s">
        <v>15</v>
      </c>
      <c r="H13" s="11">
        <v>8.2000000000000003E-2</v>
      </c>
      <c r="I13" s="11">
        <v>0.21199999999999999</v>
      </c>
      <c r="J13" s="11">
        <v>0</v>
      </c>
      <c r="K13" s="11">
        <v>0.7</v>
      </c>
      <c r="M13" s="22" t="s">
        <v>15</v>
      </c>
      <c r="N13" s="11">
        <v>9.6000000000000002E-2</v>
      </c>
      <c r="O13" s="11">
        <v>0.23799999999999999</v>
      </c>
      <c r="P13" s="11">
        <v>0</v>
      </c>
      <c r="Q13" s="11">
        <v>0.8</v>
      </c>
      <c r="S13" s="22" t="s">
        <v>15</v>
      </c>
      <c r="T13" s="11">
        <v>0.3</v>
      </c>
      <c r="U13" s="11">
        <v>0.58899999999999997</v>
      </c>
      <c r="V13" s="11">
        <v>0</v>
      </c>
      <c r="W13" s="11">
        <v>2.1</v>
      </c>
      <c r="Y13" s="22" t="s">
        <v>15</v>
      </c>
      <c r="Z13" s="11">
        <v>0.21199999999999999</v>
      </c>
      <c r="AA13" s="11">
        <v>0.54900000000000004</v>
      </c>
      <c r="AB13" s="11">
        <v>0</v>
      </c>
      <c r="AC13" s="11">
        <v>1.9</v>
      </c>
      <c r="AE13" s="22" t="s">
        <v>15</v>
      </c>
      <c r="AF13" s="11">
        <v>15.977</v>
      </c>
      <c r="AG13" s="11">
        <v>4.0279999999999996</v>
      </c>
      <c r="AH13" s="11">
        <v>8.5</v>
      </c>
      <c r="AI13" s="11">
        <v>24.3</v>
      </c>
      <c r="AK13" s="22" t="s">
        <v>15</v>
      </c>
      <c r="AL13" s="11">
        <v>0.248</v>
      </c>
      <c r="AM13" s="11">
        <v>0.68300000000000005</v>
      </c>
      <c r="AN13" s="11">
        <v>0</v>
      </c>
      <c r="AO13" s="11">
        <v>2.302</v>
      </c>
      <c r="AQ13" s="22" t="s">
        <v>15</v>
      </c>
      <c r="AR13" s="11">
        <v>6.62</v>
      </c>
      <c r="AS13" s="11">
        <v>3.996</v>
      </c>
      <c r="AT13" s="11">
        <v>0</v>
      </c>
      <c r="AU13" s="11">
        <v>14.9</v>
      </c>
    </row>
    <row r="14" spans="1:47" x14ac:dyDescent="0.25">
      <c r="A14" s="21" t="s">
        <v>105</v>
      </c>
      <c r="B14" s="8">
        <v>4.094180128403365</v>
      </c>
      <c r="C14" s="8">
        <v>0.39936388185456695</v>
      </c>
      <c r="D14" s="8">
        <v>3.3114269199684139</v>
      </c>
      <c r="E14" s="8">
        <v>4.8769333368383165</v>
      </c>
      <c r="G14" s="21" t="s">
        <v>105</v>
      </c>
      <c r="H14" s="11">
        <v>0.05</v>
      </c>
      <c r="I14" s="11">
        <v>0.13200000000000001</v>
      </c>
      <c r="J14" s="11">
        <v>0</v>
      </c>
      <c r="K14" s="11">
        <v>0.4</v>
      </c>
      <c r="M14" s="21" t="s">
        <v>105</v>
      </c>
      <c r="N14" s="11">
        <v>4.5999999999999999E-2</v>
      </c>
      <c r="O14" s="11">
        <v>0.11600000000000001</v>
      </c>
      <c r="P14" s="11">
        <v>0</v>
      </c>
      <c r="Q14" s="11">
        <v>0.3</v>
      </c>
      <c r="S14" s="21" t="s">
        <v>105</v>
      </c>
      <c r="T14" s="11">
        <v>7.0000000000000007E-2</v>
      </c>
      <c r="U14" s="11">
        <v>0.185</v>
      </c>
      <c r="V14" s="11">
        <v>0</v>
      </c>
      <c r="W14" s="11">
        <v>0.6</v>
      </c>
      <c r="Y14" s="21" t="s">
        <v>105</v>
      </c>
      <c r="Z14" s="11">
        <v>1.19</v>
      </c>
      <c r="AA14" s="11">
        <v>0.76400000000000001</v>
      </c>
      <c r="AB14" s="11">
        <v>0.2</v>
      </c>
      <c r="AC14" s="11">
        <v>3.1</v>
      </c>
      <c r="AE14" s="21" t="s">
        <v>105</v>
      </c>
      <c r="AF14" s="11">
        <v>11.872999999999999</v>
      </c>
      <c r="AG14" s="11">
        <v>2.0750000000000002</v>
      </c>
      <c r="AH14" s="11">
        <v>8.1</v>
      </c>
      <c r="AI14" s="11">
        <v>16.2</v>
      </c>
      <c r="AK14" s="21" t="s">
        <v>105</v>
      </c>
      <c r="AL14" s="11">
        <v>18.146000000000001</v>
      </c>
      <c r="AM14" s="11">
        <v>2.532</v>
      </c>
      <c r="AN14" s="11">
        <v>13.4</v>
      </c>
      <c r="AO14" s="11">
        <v>23.3</v>
      </c>
      <c r="AQ14" s="21" t="s">
        <v>105</v>
      </c>
      <c r="AR14" s="11">
        <v>12.497999999999999</v>
      </c>
      <c r="AS14" s="11">
        <v>2.5609999999999999</v>
      </c>
      <c r="AT14" s="11">
        <v>7.9</v>
      </c>
      <c r="AU14" s="11">
        <v>17.899999999999999</v>
      </c>
    </row>
    <row r="15" spans="1:47" x14ac:dyDescent="0.25">
      <c r="A15" s="22" t="s">
        <v>17</v>
      </c>
      <c r="B15" s="8">
        <v>3.7483450089628887</v>
      </c>
      <c r="C15" s="8">
        <v>0.36675910789560323</v>
      </c>
      <c r="D15" s="8">
        <v>3.0294971574875063</v>
      </c>
      <c r="E15" s="8">
        <v>4.4671928604382707</v>
      </c>
      <c r="G15" s="22" t="s">
        <v>17</v>
      </c>
      <c r="H15" s="11">
        <v>3.5999999999999997E-2</v>
      </c>
      <c r="I15" s="11">
        <v>0.111</v>
      </c>
      <c r="J15" s="11">
        <v>0</v>
      </c>
      <c r="K15" s="11">
        <v>0.3</v>
      </c>
      <c r="M15" s="22" t="s">
        <v>17</v>
      </c>
      <c r="N15" s="11">
        <v>3.1E-2</v>
      </c>
      <c r="O15" s="11">
        <v>9.0999999999999998E-2</v>
      </c>
      <c r="P15" s="11">
        <v>0</v>
      </c>
      <c r="Q15" s="11">
        <v>0.2</v>
      </c>
      <c r="S15" s="22" t="s">
        <v>17</v>
      </c>
      <c r="T15" s="11">
        <v>5.1999999999999998E-2</v>
      </c>
      <c r="U15" s="11">
        <v>0.161</v>
      </c>
      <c r="V15" s="11">
        <v>0</v>
      </c>
      <c r="W15" s="11">
        <v>0.5</v>
      </c>
      <c r="Y15" s="22" t="s">
        <v>17</v>
      </c>
      <c r="Z15" s="11">
        <v>1.177</v>
      </c>
      <c r="AA15" s="11">
        <v>0.76100000000000001</v>
      </c>
      <c r="AB15" s="11">
        <v>0.1</v>
      </c>
      <c r="AC15" s="11">
        <v>3</v>
      </c>
      <c r="AE15" s="22" t="s">
        <v>17</v>
      </c>
      <c r="AF15" s="11">
        <v>11.823</v>
      </c>
      <c r="AG15" s="11">
        <v>2.056</v>
      </c>
      <c r="AH15" s="11">
        <v>8.1</v>
      </c>
      <c r="AI15" s="11">
        <v>16.100000000000001</v>
      </c>
      <c r="AK15" s="22" t="s">
        <v>17</v>
      </c>
      <c r="AL15" s="11">
        <v>18.016999999999999</v>
      </c>
      <c r="AM15" s="11">
        <v>2.5089999999999999</v>
      </c>
      <c r="AN15" s="11">
        <v>13.3</v>
      </c>
      <c r="AO15" s="11">
        <v>23.1</v>
      </c>
      <c r="AQ15" s="22" t="s">
        <v>17</v>
      </c>
      <c r="AR15" s="11">
        <v>9.06</v>
      </c>
      <c r="AS15" s="11">
        <v>2.0019999999999998</v>
      </c>
      <c r="AT15" s="11">
        <v>5.5</v>
      </c>
      <c r="AU15" s="11">
        <v>13.3</v>
      </c>
    </row>
    <row r="16" spans="1:47" x14ac:dyDescent="0.25">
      <c r="A16" s="22" t="s">
        <v>18</v>
      </c>
      <c r="B16" s="8">
        <v>0.34904715188983748</v>
      </c>
      <c r="C16" s="8">
        <v>0.16577787527503357</v>
      </c>
      <c r="D16" s="8">
        <v>2.4122516350771672E-2</v>
      </c>
      <c r="E16" s="8">
        <v>0.67397178742890329</v>
      </c>
      <c r="G16" s="22" t="s">
        <v>18</v>
      </c>
      <c r="H16" s="11">
        <v>1.7999999999999999E-2</v>
      </c>
      <c r="I16" s="11">
        <v>7.4999999999999997E-2</v>
      </c>
      <c r="J16" s="11">
        <v>0</v>
      </c>
      <c r="K16" s="11">
        <v>0.1</v>
      </c>
      <c r="M16" s="22" t="s">
        <v>18</v>
      </c>
      <c r="N16" s="11">
        <v>1.7999999999999999E-2</v>
      </c>
      <c r="O16" s="11">
        <v>7.5999999999999998E-2</v>
      </c>
      <c r="P16" s="11">
        <v>0</v>
      </c>
      <c r="Q16" s="11">
        <v>0.1</v>
      </c>
      <c r="S16" s="22" t="s">
        <v>18</v>
      </c>
      <c r="T16" s="11">
        <v>2.1000000000000001E-2</v>
      </c>
      <c r="U16" s="11">
        <v>9.1999999999999998E-2</v>
      </c>
      <c r="V16" s="11">
        <v>0</v>
      </c>
      <c r="W16" s="11">
        <v>0.2</v>
      </c>
      <c r="Y16" s="22" t="s">
        <v>18</v>
      </c>
      <c r="Z16" s="11">
        <v>0.02</v>
      </c>
      <c r="AA16" s="11">
        <v>8.3000000000000004E-2</v>
      </c>
      <c r="AB16" s="11">
        <v>0</v>
      </c>
      <c r="AC16" s="11">
        <v>0.1</v>
      </c>
      <c r="AE16" s="22" t="s">
        <v>18</v>
      </c>
      <c r="AF16" s="11">
        <v>5.8999999999999997E-2</v>
      </c>
      <c r="AG16" s="11">
        <v>0.25800000000000001</v>
      </c>
      <c r="AH16" s="11">
        <v>0</v>
      </c>
      <c r="AI16" s="11">
        <v>0.7</v>
      </c>
      <c r="AK16" s="22" t="s">
        <v>18</v>
      </c>
      <c r="AL16" s="11">
        <v>0.13300000000000001</v>
      </c>
      <c r="AM16" s="11">
        <v>0.32800000000000001</v>
      </c>
      <c r="AN16" s="11">
        <v>0</v>
      </c>
      <c r="AO16" s="11">
        <v>1.1000000000000001</v>
      </c>
      <c r="AQ16" s="22" t="s">
        <v>18</v>
      </c>
      <c r="AR16" s="11">
        <v>3.431</v>
      </c>
      <c r="AS16" s="11">
        <v>1.6870000000000001</v>
      </c>
      <c r="AT16" s="11">
        <v>0.5</v>
      </c>
      <c r="AU16" s="11">
        <v>7.1</v>
      </c>
    </row>
    <row r="17" spans="1:47" x14ac:dyDescent="0.25">
      <c r="A17" s="20" t="s">
        <v>41</v>
      </c>
      <c r="B17" s="8">
        <v>17.057244096698348</v>
      </c>
      <c r="C17" s="8">
        <v>1.0152562991593614</v>
      </c>
      <c r="D17" s="8">
        <v>15.067341750345999</v>
      </c>
      <c r="E17" s="8">
        <v>19.047146443050696</v>
      </c>
      <c r="G17" s="20" t="s">
        <v>41</v>
      </c>
      <c r="H17" s="11">
        <v>0.25</v>
      </c>
      <c r="I17" s="11">
        <v>0.49199999999999999</v>
      </c>
      <c r="J17" s="11">
        <v>0</v>
      </c>
      <c r="K17" s="11">
        <v>1.6020000000000001</v>
      </c>
      <c r="M17" s="20" t="s">
        <v>41</v>
      </c>
      <c r="N17" s="11">
        <v>0.72</v>
      </c>
      <c r="O17" s="11">
        <v>0.94199999999999995</v>
      </c>
      <c r="P17" s="11">
        <v>0</v>
      </c>
      <c r="Q17" s="11">
        <v>3.3</v>
      </c>
      <c r="S17" s="20" t="s">
        <v>41</v>
      </c>
      <c r="T17" s="11">
        <v>0.68300000000000005</v>
      </c>
      <c r="U17" s="11">
        <v>0.95799999999999996</v>
      </c>
      <c r="V17" s="11">
        <v>0</v>
      </c>
      <c r="W17" s="11">
        <v>3.302</v>
      </c>
      <c r="Y17" s="20" t="s">
        <v>41</v>
      </c>
      <c r="Z17" s="11">
        <v>7.6139999999999999</v>
      </c>
      <c r="AA17" s="11">
        <v>3.3809999999999998</v>
      </c>
      <c r="AB17" s="11">
        <v>0.8</v>
      </c>
      <c r="AC17" s="11">
        <v>14.3</v>
      </c>
      <c r="AE17" s="20" t="s">
        <v>41</v>
      </c>
      <c r="AF17" s="11">
        <v>29.741</v>
      </c>
      <c r="AG17" s="11">
        <v>5.3150000000000004</v>
      </c>
      <c r="AH17" s="11">
        <v>19.399999999999999</v>
      </c>
      <c r="AI17" s="11">
        <v>40.200000000000003</v>
      </c>
      <c r="AK17" s="20" t="s">
        <v>41</v>
      </c>
      <c r="AL17" s="11">
        <v>67.650000000000006</v>
      </c>
      <c r="AM17" s="11">
        <v>5.3810000000000002</v>
      </c>
      <c r="AN17" s="11">
        <v>55.9</v>
      </c>
      <c r="AO17" s="11">
        <v>76.302000000000007</v>
      </c>
      <c r="AQ17" s="20" t="s">
        <v>41</v>
      </c>
      <c r="AR17" s="11">
        <v>76.265000000000001</v>
      </c>
      <c r="AS17" s="11">
        <v>4.7</v>
      </c>
      <c r="AT17" s="11">
        <v>66.7</v>
      </c>
      <c r="AU17" s="11">
        <v>85.201999999999998</v>
      </c>
    </row>
    <row r="18" spans="1:47" x14ac:dyDescent="0.25">
      <c r="A18" s="20" t="s">
        <v>106</v>
      </c>
      <c r="B18" s="8">
        <v>6.5382712169670585</v>
      </c>
      <c r="C18" s="8">
        <v>0.67248657304656856</v>
      </c>
      <c r="D18" s="8">
        <v>5.2201975337957842</v>
      </c>
      <c r="E18" s="8">
        <v>7.8563449001383328</v>
      </c>
      <c r="G18" s="20" t="s">
        <v>106</v>
      </c>
      <c r="H18" s="11">
        <v>0.11899999999999999</v>
      </c>
      <c r="I18" s="11">
        <v>0.248</v>
      </c>
      <c r="J18" s="11">
        <v>0</v>
      </c>
      <c r="K18" s="11">
        <v>0.8</v>
      </c>
      <c r="M18" s="20" t="s">
        <v>106</v>
      </c>
      <c r="N18" s="11">
        <v>0.129</v>
      </c>
      <c r="O18" s="11">
        <v>0.26100000000000001</v>
      </c>
      <c r="P18" s="11">
        <v>0</v>
      </c>
      <c r="Q18" s="11">
        <v>0.9</v>
      </c>
      <c r="S18" s="20" t="s">
        <v>106</v>
      </c>
      <c r="T18" s="11">
        <v>0.35699999999999998</v>
      </c>
      <c r="U18" s="11">
        <v>0.61099999999999999</v>
      </c>
      <c r="V18" s="11">
        <v>0</v>
      </c>
      <c r="W18" s="11">
        <v>2.2000000000000002</v>
      </c>
      <c r="Y18" s="20" t="s">
        <v>106</v>
      </c>
      <c r="Z18" s="11">
        <v>1.39</v>
      </c>
      <c r="AA18" s="11">
        <v>0.93799999999999994</v>
      </c>
      <c r="AB18" s="11">
        <v>0.2</v>
      </c>
      <c r="AC18" s="11">
        <v>3.6019999999999999</v>
      </c>
      <c r="AE18" s="20" t="s">
        <v>106</v>
      </c>
      <c r="AF18" s="11">
        <v>27.85</v>
      </c>
      <c r="AG18" s="11">
        <v>4.3049999999999997</v>
      </c>
      <c r="AH18" s="11">
        <v>19.600000000000001</v>
      </c>
      <c r="AI18" s="11">
        <v>36.402000000000001</v>
      </c>
      <c r="AK18" s="20" t="s">
        <v>106</v>
      </c>
      <c r="AL18" s="11">
        <v>18.384</v>
      </c>
      <c r="AM18" s="11">
        <v>2.6179999999999999</v>
      </c>
      <c r="AN18" s="11">
        <v>13.6</v>
      </c>
      <c r="AO18" s="11">
        <v>23.9</v>
      </c>
      <c r="AQ18" s="20" t="s">
        <v>106</v>
      </c>
      <c r="AR18" s="11">
        <v>19.125</v>
      </c>
      <c r="AS18" s="11">
        <v>4.3479999999999999</v>
      </c>
      <c r="AT18" s="11">
        <v>11.1</v>
      </c>
      <c r="AU18" s="11">
        <v>27.8</v>
      </c>
    </row>
    <row r="19" spans="1:47" x14ac:dyDescent="0.25">
      <c r="A19" s="20" t="s">
        <v>22</v>
      </c>
      <c r="B19" s="8">
        <v>15.751245849560021</v>
      </c>
      <c r="C19" s="8">
        <v>0.76236300194300388</v>
      </c>
      <c r="D19" s="8">
        <v>14.257014365751735</v>
      </c>
      <c r="E19" s="8">
        <v>17.24547733336831</v>
      </c>
      <c r="G19" s="20" t="s">
        <v>22</v>
      </c>
      <c r="H19" s="11">
        <v>0.29799999999999999</v>
      </c>
      <c r="I19" s="11">
        <v>0.51400000000000001</v>
      </c>
      <c r="J19" s="11">
        <v>0</v>
      </c>
      <c r="K19" s="11">
        <v>1.8</v>
      </c>
      <c r="M19" s="20" t="s">
        <v>22</v>
      </c>
      <c r="N19" s="11">
        <v>0.49199999999999999</v>
      </c>
      <c r="O19" s="11">
        <v>0.76600000000000001</v>
      </c>
      <c r="P19" s="11">
        <v>0</v>
      </c>
      <c r="Q19" s="11">
        <v>2.8</v>
      </c>
      <c r="S19" s="20" t="s">
        <v>22</v>
      </c>
      <c r="T19" s="11">
        <v>1.0860000000000001</v>
      </c>
      <c r="U19" s="11">
        <v>1.173</v>
      </c>
      <c r="V19" s="11">
        <v>0</v>
      </c>
      <c r="W19" s="11">
        <v>4.0999999999999996</v>
      </c>
      <c r="Y19" s="20" t="s">
        <v>22</v>
      </c>
      <c r="Z19" s="11">
        <v>11.257</v>
      </c>
      <c r="AA19" s="11">
        <v>2.5019999999999998</v>
      </c>
      <c r="AB19" s="11">
        <v>6.7</v>
      </c>
      <c r="AC19" s="11">
        <v>16.399999999999999</v>
      </c>
      <c r="AE19" s="20" t="s">
        <v>22</v>
      </c>
      <c r="AF19" s="11">
        <v>52.8</v>
      </c>
      <c r="AG19" s="11">
        <v>3.665</v>
      </c>
      <c r="AH19" s="11">
        <v>45.4</v>
      </c>
      <c r="AI19" s="11">
        <v>59.8</v>
      </c>
      <c r="AK19" s="20" t="s">
        <v>22</v>
      </c>
      <c r="AL19" s="11">
        <v>58.265999999999998</v>
      </c>
      <c r="AM19" s="11">
        <v>3.8010000000000002</v>
      </c>
      <c r="AN19" s="11">
        <v>50.7</v>
      </c>
      <c r="AO19" s="11">
        <v>65.7</v>
      </c>
      <c r="AQ19" s="20" t="s">
        <v>22</v>
      </c>
      <c r="AR19" s="11">
        <v>40.951999999999998</v>
      </c>
      <c r="AS19" s="11">
        <v>3.754</v>
      </c>
      <c r="AT19" s="11">
        <v>33.700000000000003</v>
      </c>
      <c r="AU19" s="11">
        <v>48.4</v>
      </c>
    </row>
    <row r="20" spans="1:47" x14ac:dyDescent="0.25">
      <c r="A20" s="20" t="s">
        <v>42</v>
      </c>
      <c r="B20" s="8">
        <v>91.90125049366172</v>
      </c>
      <c r="C20" s="8">
        <v>0.8577758210207358</v>
      </c>
      <c r="D20" s="8">
        <v>90.220009884461078</v>
      </c>
      <c r="E20" s="8">
        <v>93.582491102862363</v>
      </c>
      <c r="G20" s="20" t="s">
        <v>42</v>
      </c>
      <c r="H20" s="11">
        <v>99.816999999999993</v>
      </c>
      <c r="I20" s="11">
        <v>0.34399999999999997</v>
      </c>
      <c r="J20" s="11">
        <v>98.8</v>
      </c>
      <c r="K20" s="11">
        <v>100</v>
      </c>
      <c r="M20" s="20" t="s">
        <v>42</v>
      </c>
      <c r="N20" s="11">
        <v>99.787000000000006</v>
      </c>
      <c r="O20" s="11">
        <v>0.38400000000000001</v>
      </c>
      <c r="P20" s="11">
        <v>98.5</v>
      </c>
      <c r="Q20" s="11">
        <v>100</v>
      </c>
      <c r="S20" s="20" t="s">
        <v>42</v>
      </c>
      <c r="T20" s="11">
        <v>99.325999999999993</v>
      </c>
      <c r="U20" s="11">
        <v>0.95199999999999996</v>
      </c>
      <c r="V20" s="11">
        <v>96.7</v>
      </c>
      <c r="W20" s="11">
        <v>100</v>
      </c>
      <c r="Y20" s="20" t="s">
        <v>42</v>
      </c>
      <c r="Z20" s="11">
        <v>95.885999999999996</v>
      </c>
      <c r="AA20" s="11">
        <v>2.6720000000000002</v>
      </c>
      <c r="AB20" s="11">
        <v>90.1</v>
      </c>
      <c r="AC20" s="11">
        <v>99.6</v>
      </c>
      <c r="AE20" s="20" t="s">
        <v>42</v>
      </c>
      <c r="AF20" s="11">
        <v>66.287000000000006</v>
      </c>
      <c r="AG20" s="11">
        <v>4.9480000000000004</v>
      </c>
      <c r="AH20" s="11">
        <v>56.6</v>
      </c>
      <c r="AI20" s="11">
        <v>75.802000000000007</v>
      </c>
      <c r="AK20" s="20" t="s">
        <v>42</v>
      </c>
      <c r="AL20" s="11">
        <v>78.295000000000002</v>
      </c>
      <c r="AM20" s="11">
        <v>4.8369999999999997</v>
      </c>
      <c r="AN20" s="11">
        <v>67.5</v>
      </c>
      <c r="AO20" s="11">
        <v>85.6</v>
      </c>
      <c r="AQ20" s="20" t="s">
        <v>42</v>
      </c>
      <c r="AR20" s="11">
        <v>77.385000000000005</v>
      </c>
      <c r="AS20" s="11">
        <v>4.6230000000000002</v>
      </c>
      <c r="AT20" s="11">
        <v>67.8</v>
      </c>
      <c r="AU20" s="11">
        <v>86.2</v>
      </c>
    </row>
    <row r="21" spans="1:47" x14ac:dyDescent="0.25">
      <c r="A21" s="20" t="s">
        <v>21</v>
      </c>
      <c r="B21" s="8">
        <v>8.0987495063382813</v>
      </c>
      <c r="C21" s="8">
        <v>0.85810431716979241</v>
      </c>
      <c r="D21" s="8">
        <v>6.4168650446854887</v>
      </c>
      <c r="E21" s="8">
        <v>9.7806339679910739</v>
      </c>
      <c r="G21" s="20" t="s">
        <v>21</v>
      </c>
      <c r="H21" s="11">
        <v>0.183</v>
      </c>
      <c r="I21" s="11">
        <v>0.34699999999999998</v>
      </c>
      <c r="J21" s="11">
        <v>0</v>
      </c>
      <c r="K21" s="11">
        <v>1.2</v>
      </c>
      <c r="M21" s="20" t="s">
        <v>21</v>
      </c>
      <c r="N21" s="11">
        <v>0.21299999999999999</v>
      </c>
      <c r="O21" s="11">
        <v>0.38700000000000001</v>
      </c>
      <c r="P21" s="11">
        <v>0</v>
      </c>
      <c r="Q21" s="11">
        <v>1.4</v>
      </c>
      <c r="S21" s="20" t="s">
        <v>21</v>
      </c>
      <c r="T21" s="11">
        <v>0.67400000000000004</v>
      </c>
      <c r="U21" s="11">
        <v>0.95399999999999996</v>
      </c>
      <c r="V21" s="11">
        <v>0</v>
      </c>
      <c r="W21" s="11">
        <v>3.3</v>
      </c>
      <c r="Y21" s="20" t="s">
        <v>21</v>
      </c>
      <c r="Z21" s="11">
        <v>4.1139999999999999</v>
      </c>
      <c r="AA21" s="11">
        <v>2.6709999999999998</v>
      </c>
      <c r="AB21" s="11">
        <v>0.4</v>
      </c>
      <c r="AC21" s="11">
        <v>9.8019999999999996</v>
      </c>
      <c r="AE21" s="20" t="s">
        <v>21</v>
      </c>
      <c r="AF21" s="11">
        <v>33.713000000000001</v>
      </c>
      <c r="AG21" s="11">
        <v>4.9489999999999998</v>
      </c>
      <c r="AH21" s="11">
        <v>24.2</v>
      </c>
      <c r="AI21" s="11">
        <v>43.4</v>
      </c>
      <c r="AK21" s="20" t="s">
        <v>21</v>
      </c>
      <c r="AL21" s="11">
        <v>21.704999999999998</v>
      </c>
      <c r="AM21" s="11">
        <v>4.8369999999999997</v>
      </c>
      <c r="AN21" s="11">
        <v>14.3</v>
      </c>
      <c r="AO21" s="11">
        <v>32.5</v>
      </c>
      <c r="AQ21" s="20" t="s">
        <v>21</v>
      </c>
      <c r="AR21" s="11">
        <v>22.614999999999998</v>
      </c>
      <c r="AS21" s="11">
        <v>4.6219999999999999</v>
      </c>
      <c r="AT21" s="11">
        <v>13.8</v>
      </c>
      <c r="AU21" s="11">
        <v>32.200000000000003</v>
      </c>
    </row>
    <row r="25" spans="1:47" x14ac:dyDescent="0.25">
      <c r="A25" s="5" t="s">
        <v>252</v>
      </c>
      <c r="G25" s="16" t="s">
        <v>195</v>
      </c>
    </row>
    <row r="26" spans="1:47" x14ac:dyDescent="0.25">
      <c r="A26" t="s">
        <v>64</v>
      </c>
      <c r="B26" s="7" t="s">
        <v>65</v>
      </c>
      <c r="C26" s="7" t="s">
        <v>34</v>
      </c>
      <c r="D26" s="14" t="s">
        <v>111</v>
      </c>
      <c r="E26" s="14"/>
      <c r="G26" s="16" t="s">
        <v>196</v>
      </c>
    </row>
    <row r="27" spans="1:47" x14ac:dyDescent="0.25">
      <c r="A27" s="20" t="s">
        <v>9</v>
      </c>
      <c r="B27" s="8">
        <v>99.041501664230566</v>
      </c>
      <c r="C27" s="8">
        <v>0.80318683296842286</v>
      </c>
      <c r="D27" s="8">
        <v>97.467255471612461</v>
      </c>
      <c r="E27" s="8">
        <v>100</v>
      </c>
      <c r="G27" s="17" t="s">
        <v>197</v>
      </c>
    </row>
    <row r="28" spans="1:47" x14ac:dyDescent="0.25">
      <c r="A28" s="21" t="s">
        <v>10</v>
      </c>
      <c r="B28" s="8">
        <v>74.467018712393752</v>
      </c>
      <c r="C28" s="8">
        <v>5.6424688999238555</v>
      </c>
      <c r="D28" s="8">
        <v>63.407779668543</v>
      </c>
      <c r="E28" s="8">
        <v>85.526257756244505</v>
      </c>
      <c r="G28" s="18" t="s">
        <v>198</v>
      </c>
    </row>
    <row r="29" spans="1:47" x14ac:dyDescent="0.25">
      <c r="A29" s="21" t="s">
        <v>101</v>
      </c>
      <c r="B29" s="8">
        <v>24.538685449685836</v>
      </c>
      <c r="C29" s="8">
        <v>5.6819457564172247</v>
      </c>
      <c r="D29" s="8">
        <v>13.402071767108076</v>
      </c>
      <c r="E29" s="8">
        <v>35.675299132263596</v>
      </c>
      <c r="G29" s="18" t="s">
        <v>199</v>
      </c>
    </row>
    <row r="30" spans="1:47" x14ac:dyDescent="0.25">
      <c r="A30" s="22" t="s">
        <v>126</v>
      </c>
      <c r="B30" s="8">
        <v>18.081514061853547</v>
      </c>
      <c r="C30" s="8">
        <v>6.2003624423976644</v>
      </c>
      <c r="D30" s="8">
        <v>5.9288036747541248</v>
      </c>
      <c r="E30" s="8">
        <v>30.234224448952968</v>
      </c>
      <c r="G30" s="18" t="s">
        <v>214</v>
      </c>
    </row>
    <row r="31" spans="1:47" x14ac:dyDescent="0.25">
      <c r="A31" s="22" t="s">
        <v>103</v>
      </c>
      <c r="B31" s="8">
        <v>6.4394328788969837</v>
      </c>
      <c r="C31" s="8">
        <v>2.088522177473545</v>
      </c>
      <c r="D31" s="8">
        <v>2.3459294110488358</v>
      </c>
      <c r="E31" s="8">
        <v>10.532936346745132</v>
      </c>
      <c r="G31" s="16" t="s">
        <v>201</v>
      </c>
    </row>
    <row r="32" spans="1:47" x14ac:dyDescent="0.25">
      <c r="A32" s="20" t="s">
        <v>11</v>
      </c>
      <c r="B32" s="8">
        <v>0.95849833576943289</v>
      </c>
      <c r="C32" s="8">
        <v>0.80393046042575311</v>
      </c>
      <c r="D32" s="8">
        <v>0</v>
      </c>
      <c r="E32" s="8">
        <v>2.534202038203909</v>
      </c>
      <c r="G32" s="16" t="s">
        <v>202</v>
      </c>
    </row>
    <row r="33" spans="1:7" x14ac:dyDescent="0.25">
      <c r="A33" s="21" t="s">
        <v>103</v>
      </c>
      <c r="B33" s="8">
        <v>0.39083248749858629</v>
      </c>
      <c r="C33" s="8">
        <v>0.53497451872461277</v>
      </c>
      <c r="D33" s="8">
        <v>0</v>
      </c>
      <c r="E33" s="8">
        <v>1.4393825441988273</v>
      </c>
      <c r="G33" s="16" t="s">
        <v>203</v>
      </c>
    </row>
    <row r="34" spans="1:7" x14ac:dyDescent="0.25">
      <c r="A34" s="21" t="s">
        <v>38</v>
      </c>
      <c r="B34" s="8">
        <v>0.30732105405564042</v>
      </c>
      <c r="C34" s="8">
        <v>0.5372290638991627</v>
      </c>
      <c r="D34" s="8">
        <v>0</v>
      </c>
      <c r="E34" s="8">
        <v>1.3602900192979992</v>
      </c>
      <c r="G34" s="16" t="s">
        <v>204</v>
      </c>
    </row>
    <row r="35" spans="1:7" x14ac:dyDescent="0.25">
      <c r="A35" s="21" t="s">
        <v>104</v>
      </c>
      <c r="B35" s="8">
        <v>0.25302984019091762</v>
      </c>
      <c r="C35" s="8">
        <v>0.32575278622175186</v>
      </c>
      <c r="D35" s="8">
        <v>0</v>
      </c>
      <c r="E35" s="8">
        <v>0.89150530118555116</v>
      </c>
      <c r="G35" s="16" t="s">
        <v>205</v>
      </c>
    </row>
    <row r="36" spans="1:7" x14ac:dyDescent="0.25">
      <c r="A36" s="22" t="s">
        <v>14</v>
      </c>
      <c r="B36" s="8">
        <v>0.12945813082212276</v>
      </c>
      <c r="C36" s="8">
        <v>0.26292650216489488</v>
      </c>
      <c r="D36" s="8">
        <v>0</v>
      </c>
      <c r="E36" s="8">
        <v>0.64479407506531672</v>
      </c>
      <c r="G36" s="16" t="s">
        <v>206</v>
      </c>
    </row>
    <row r="37" spans="1:7" x14ac:dyDescent="0.25">
      <c r="A37" s="22" t="s">
        <v>15</v>
      </c>
      <c r="B37" s="8">
        <v>0.12963542112549228</v>
      </c>
      <c r="C37" s="8">
        <v>0.2084384952501501</v>
      </c>
      <c r="D37" s="8">
        <v>0</v>
      </c>
      <c r="E37" s="8">
        <v>0.53817487181578649</v>
      </c>
      <c r="G37" s="16" t="s">
        <v>207</v>
      </c>
    </row>
    <row r="38" spans="1:7" x14ac:dyDescent="0.25">
      <c r="A38" s="21" t="s">
        <v>105</v>
      </c>
      <c r="B38" s="8">
        <v>5.0316892405525386E-2</v>
      </c>
      <c r="C38" s="8">
        <v>9.4699053558565408E-2</v>
      </c>
      <c r="D38" s="8">
        <v>0</v>
      </c>
      <c r="E38" s="8">
        <v>0.23592703738031359</v>
      </c>
      <c r="G38" s="16" t="s">
        <v>208</v>
      </c>
    </row>
    <row r="39" spans="1:7" x14ac:dyDescent="0.25">
      <c r="A39" s="22" t="s">
        <v>17</v>
      </c>
      <c r="B39" s="8">
        <v>3.4872848489880759E-2</v>
      </c>
      <c r="C39" s="8">
        <v>7.526376603966406E-2</v>
      </c>
      <c r="D39" s="8">
        <v>0</v>
      </c>
      <c r="E39" s="8">
        <v>0.18238982992762232</v>
      </c>
      <c r="G39" s="16" t="s">
        <v>209</v>
      </c>
    </row>
    <row r="40" spans="1:7" x14ac:dyDescent="0.25">
      <c r="A40" s="22" t="s">
        <v>18</v>
      </c>
      <c r="B40" s="8">
        <v>1.8507755672341988E-2</v>
      </c>
      <c r="C40" s="8">
        <v>6.0527462852375202E-2</v>
      </c>
      <c r="D40" s="8">
        <v>0</v>
      </c>
      <c r="E40" s="8">
        <v>0.13714158286299738</v>
      </c>
      <c r="G40" s="16" t="s">
        <v>210</v>
      </c>
    </row>
    <row r="41" spans="1:7" x14ac:dyDescent="0.25">
      <c r="A41" s="20" t="s">
        <v>41</v>
      </c>
      <c r="B41" s="8">
        <v>0.68379315439335397</v>
      </c>
      <c r="C41" s="8">
        <v>0.74118081579873318</v>
      </c>
      <c r="D41" s="8">
        <v>0</v>
      </c>
      <c r="E41" s="8">
        <v>2.1365075533588707</v>
      </c>
      <c r="G41" s="16" t="s">
        <v>211</v>
      </c>
    </row>
    <row r="42" spans="1:7" x14ac:dyDescent="0.25">
      <c r="A42" s="20" t="s">
        <v>106</v>
      </c>
      <c r="B42" s="8">
        <v>0.16695231353101767</v>
      </c>
      <c r="C42" s="8">
        <v>0.22588164839521943</v>
      </c>
      <c r="D42" s="8">
        <v>0</v>
      </c>
      <c r="E42" s="8">
        <v>0.60968034438564778</v>
      </c>
      <c r="G42" s="16" t="s">
        <v>212</v>
      </c>
    </row>
    <row r="43" spans="1:7" x14ac:dyDescent="0.25">
      <c r="A43" s="20" t="s">
        <v>22</v>
      </c>
      <c r="B43" s="8">
        <v>0.58017554232442548</v>
      </c>
      <c r="C43" s="8">
        <v>0.62104942121718809</v>
      </c>
      <c r="D43" s="8">
        <v>0</v>
      </c>
      <c r="E43" s="8">
        <v>1.797432407910114</v>
      </c>
      <c r="G43" s="19" t="s">
        <v>213</v>
      </c>
    </row>
    <row r="44" spans="1:7" x14ac:dyDescent="0.25">
      <c r="A44" s="20" t="s">
        <v>42</v>
      </c>
      <c r="B44" s="8">
        <v>99.710886231051035</v>
      </c>
      <c r="C44" s="8">
        <v>0.33644833456736389</v>
      </c>
      <c r="D44" s="8">
        <v>99.051447495299001</v>
      </c>
      <c r="E44" s="8">
        <v>100</v>
      </c>
    </row>
    <row r="45" spans="1:7" x14ac:dyDescent="0.25">
      <c r="A45" s="20" t="s">
        <v>21</v>
      </c>
      <c r="B45" s="8">
        <v>0.28911376894896507</v>
      </c>
      <c r="C45" s="8">
        <v>0.33863835768822365</v>
      </c>
      <c r="D45" s="8">
        <v>0</v>
      </c>
      <c r="E45" s="8">
        <v>0.9528449500178835</v>
      </c>
    </row>
    <row r="49" spans="1:5" x14ac:dyDescent="0.25">
      <c r="A49" s="5" t="s">
        <v>183</v>
      </c>
    </row>
    <row r="50" spans="1:5" x14ac:dyDescent="0.25">
      <c r="A50" t="s">
        <v>64</v>
      </c>
      <c r="B50" s="7" t="s">
        <v>65</v>
      </c>
      <c r="C50" s="7" t="s">
        <v>34</v>
      </c>
      <c r="D50" s="14" t="s">
        <v>111</v>
      </c>
      <c r="E50" s="14"/>
    </row>
    <row r="51" spans="1:5" x14ac:dyDescent="0.25">
      <c r="A51" s="20" t="s">
        <v>9</v>
      </c>
      <c r="B51" s="8">
        <v>34.798455082270273</v>
      </c>
      <c r="C51" s="8">
        <v>1.3645167583250069</v>
      </c>
      <c r="D51" s="8">
        <v>32.124002235953256</v>
      </c>
      <c r="E51" s="8">
        <v>37.47290792858729</v>
      </c>
    </row>
    <row r="52" spans="1:5" x14ac:dyDescent="0.25">
      <c r="A52" s="21" t="s">
        <v>10</v>
      </c>
      <c r="B52" s="8">
        <v>24.23917149188555</v>
      </c>
      <c r="C52" s="8">
        <v>2.0325785443015318</v>
      </c>
      <c r="D52" s="8">
        <v>20.255317545054549</v>
      </c>
      <c r="E52" s="8">
        <v>28.223025438716551</v>
      </c>
    </row>
    <row r="53" spans="1:5" x14ac:dyDescent="0.25">
      <c r="A53" s="21" t="s">
        <v>101</v>
      </c>
      <c r="B53" s="8">
        <v>10.55792794937579</v>
      </c>
      <c r="C53" s="8">
        <v>2.1573573664690553</v>
      </c>
      <c r="D53" s="8">
        <v>6.3295075110964412</v>
      </c>
      <c r="E53" s="8">
        <v>14.786348387655138</v>
      </c>
    </row>
    <row r="54" spans="1:5" x14ac:dyDescent="0.25">
      <c r="A54" s="22" t="s">
        <v>126</v>
      </c>
      <c r="B54" s="8">
        <v>5.9299268970747683</v>
      </c>
      <c r="C54" s="8">
        <v>2.3316731402221125</v>
      </c>
      <c r="D54" s="8">
        <v>1.3598475422394278</v>
      </c>
      <c r="E54" s="8">
        <v>10.500006251910108</v>
      </c>
    </row>
    <row r="55" spans="1:5" x14ac:dyDescent="0.25">
      <c r="A55" s="22" t="s">
        <v>103</v>
      </c>
      <c r="B55" s="8">
        <v>4.6317378810591752</v>
      </c>
      <c r="C55" s="8">
        <v>1.2472988606765079</v>
      </c>
      <c r="D55" s="8">
        <v>2.1870321141332196</v>
      </c>
      <c r="E55" s="8">
        <v>7.0764436479851307</v>
      </c>
    </row>
    <row r="56" spans="1:5" x14ac:dyDescent="0.25">
      <c r="A56" s="20" t="s">
        <v>11</v>
      </c>
      <c r="B56" s="8">
        <v>65.201544917729734</v>
      </c>
      <c r="C56" s="8">
        <v>1.3644789389749772</v>
      </c>
      <c r="D56" s="8">
        <v>62.527166197338779</v>
      </c>
      <c r="E56" s="8">
        <v>67.875923638120696</v>
      </c>
    </row>
    <row r="57" spans="1:5" x14ac:dyDescent="0.25">
      <c r="A57" s="21" t="s">
        <v>103</v>
      </c>
      <c r="B57" s="8">
        <v>24.334516916805413</v>
      </c>
      <c r="C57" s="8">
        <v>1.4929484401795512</v>
      </c>
      <c r="D57" s="8">
        <v>21.408337974053492</v>
      </c>
      <c r="E57" s="8">
        <v>27.260695859557334</v>
      </c>
    </row>
    <row r="58" spans="1:5" x14ac:dyDescent="0.25">
      <c r="A58" s="21" t="s">
        <v>38</v>
      </c>
      <c r="B58" s="8">
        <v>19.833191186978958</v>
      </c>
      <c r="C58" s="8">
        <v>2.3561810007190052</v>
      </c>
      <c r="D58" s="8">
        <v>15.215076425569709</v>
      </c>
      <c r="E58" s="8">
        <v>24.451305948388207</v>
      </c>
    </row>
    <row r="59" spans="1:5" x14ac:dyDescent="0.25">
      <c r="A59" s="21" t="s">
        <v>104</v>
      </c>
      <c r="B59" s="8">
        <v>10.235083719552296</v>
      </c>
      <c r="C59" s="8">
        <v>2.0805318428378121</v>
      </c>
      <c r="D59" s="8">
        <v>6.1572413075901844</v>
      </c>
      <c r="E59" s="8">
        <v>14.312926131514409</v>
      </c>
    </row>
    <row r="60" spans="1:5" x14ac:dyDescent="0.25">
      <c r="A60" s="22" t="s">
        <v>14</v>
      </c>
      <c r="B60" s="8">
        <v>3.9383813761679889</v>
      </c>
      <c r="C60" s="8">
        <v>1.8604695516185188</v>
      </c>
      <c r="D60" s="8">
        <v>0.29186105499569193</v>
      </c>
      <c r="E60" s="8">
        <v>7.5849016973402854</v>
      </c>
    </row>
    <row r="61" spans="1:5" x14ac:dyDescent="0.25">
      <c r="A61" s="22" t="s">
        <v>15</v>
      </c>
      <c r="B61" s="8">
        <v>6.3007083751547928</v>
      </c>
      <c r="C61" s="8">
        <v>1.5274832397357354</v>
      </c>
      <c r="D61" s="8">
        <v>3.3068412252727515</v>
      </c>
      <c r="E61" s="8">
        <v>9.2945755250368336</v>
      </c>
    </row>
    <row r="62" spans="1:5" x14ac:dyDescent="0.25">
      <c r="A62" s="21" t="s">
        <v>105</v>
      </c>
      <c r="B62" s="8">
        <v>10.788908293388159</v>
      </c>
      <c r="C62" s="8">
        <v>1.0488697302756902</v>
      </c>
      <c r="D62" s="8">
        <v>8.7331236220478061</v>
      </c>
      <c r="E62" s="8">
        <v>12.844692964728512</v>
      </c>
    </row>
    <row r="63" spans="1:5" x14ac:dyDescent="0.25">
      <c r="A63" s="22" t="s">
        <v>17</v>
      </c>
      <c r="B63" s="8">
        <v>9.8961015506034737</v>
      </c>
      <c r="C63" s="8">
        <v>0.96593568274441999</v>
      </c>
      <c r="D63" s="8">
        <v>8.00286761242441</v>
      </c>
      <c r="E63" s="8">
        <v>11.789335488782537</v>
      </c>
    </row>
    <row r="64" spans="1:5" x14ac:dyDescent="0.25">
      <c r="A64" s="22" t="s">
        <v>18</v>
      </c>
      <c r="B64" s="8">
        <v>0.89626432426987723</v>
      </c>
      <c r="C64" s="8">
        <v>0.4286717407253392</v>
      </c>
      <c r="D64" s="8">
        <v>5.6067712448212403E-2</v>
      </c>
      <c r="E64" s="8">
        <v>1.7364609360915422</v>
      </c>
    </row>
    <row r="65" spans="1:5" x14ac:dyDescent="0.25">
      <c r="A65" s="20" t="s">
        <v>41</v>
      </c>
      <c r="B65" s="8">
        <v>44.163947954945399</v>
      </c>
      <c r="C65" s="8">
        <v>2.4006245963442296</v>
      </c>
      <c r="D65" s="8">
        <v>39.458723746110707</v>
      </c>
      <c r="E65" s="8">
        <v>48.869172163780092</v>
      </c>
    </row>
    <row r="66" spans="1:5" x14ac:dyDescent="0.25">
      <c r="A66" s="20" t="s">
        <v>106</v>
      </c>
      <c r="B66" s="8">
        <v>17.086167033826502</v>
      </c>
      <c r="C66" s="8">
        <v>1.7462144402509674</v>
      </c>
      <c r="D66" s="8">
        <v>13.663586730934606</v>
      </c>
      <c r="E66" s="8">
        <v>20.508747336718397</v>
      </c>
    </row>
    <row r="67" spans="1:5" x14ac:dyDescent="0.25">
      <c r="A67" s="20" t="s">
        <v>22</v>
      </c>
      <c r="B67" s="8">
        <v>40.867375093172484</v>
      </c>
      <c r="C67" s="8">
        <v>1.7439556549125677</v>
      </c>
      <c r="D67" s="8">
        <v>37.449222009543853</v>
      </c>
      <c r="E67" s="8">
        <v>44.285528176801115</v>
      </c>
    </row>
    <row r="68" spans="1:5" x14ac:dyDescent="0.25">
      <c r="A68" s="20" t="s">
        <v>42</v>
      </c>
      <c r="B68" s="8">
        <v>78.972181116647803</v>
      </c>
      <c r="C68" s="8">
        <v>2.2086966805224533</v>
      </c>
      <c r="D68" s="8">
        <v>74.643135622823792</v>
      </c>
      <c r="E68" s="8">
        <v>83.301226610471815</v>
      </c>
    </row>
    <row r="69" spans="1:5" x14ac:dyDescent="0.25">
      <c r="A69" s="20" t="s">
        <v>21</v>
      </c>
      <c r="B69" s="8">
        <v>21.027818883352193</v>
      </c>
      <c r="C69" s="8">
        <v>2.208679186784225</v>
      </c>
      <c r="D69" s="8">
        <v>16.698807677255111</v>
      </c>
      <c r="E69" s="8">
        <v>25.356830089449275</v>
      </c>
    </row>
  </sheetData>
  <mergeCells count="10">
    <mergeCell ref="AB2:AC2"/>
    <mergeCell ref="AH2:AI2"/>
    <mergeCell ref="AN2:AO2"/>
    <mergeCell ref="AT2:AU2"/>
    <mergeCell ref="D2:E2"/>
    <mergeCell ref="D26:E26"/>
    <mergeCell ref="D50:E50"/>
    <mergeCell ref="J2:K2"/>
    <mergeCell ref="P2:Q2"/>
    <mergeCell ref="V2:W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7378A-289D-44DD-A24B-7F79323F81B9}">
  <dimension ref="A1:AU69"/>
  <sheetViews>
    <sheetView workbookViewId="0">
      <selection activeCell="S31" sqref="S31"/>
    </sheetView>
  </sheetViews>
  <sheetFormatPr defaultRowHeight="15" x14ac:dyDescent="0.25"/>
  <cols>
    <col min="1" max="1" width="21.85546875" customWidth="1"/>
  </cols>
  <sheetData>
    <row r="1" spans="1:47" x14ac:dyDescent="0.25">
      <c r="A1" s="5" t="s">
        <v>261</v>
      </c>
      <c r="G1" s="12" t="s">
        <v>263</v>
      </c>
      <c r="I1" s="12" t="s">
        <v>110</v>
      </c>
      <c r="M1" s="12" t="s">
        <v>264</v>
      </c>
      <c r="O1" s="12" t="s">
        <v>110</v>
      </c>
      <c r="S1" s="12" t="s">
        <v>265</v>
      </c>
      <c r="U1" s="12" t="s">
        <v>266</v>
      </c>
      <c r="Y1" s="12" t="s">
        <v>267</v>
      </c>
      <c r="AA1" s="12" t="s">
        <v>110</v>
      </c>
      <c r="AE1" s="12" t="s">
        <v>268</v>
      </c>
      <c r="AG1" s="12" t="s">
        <v>269</v>
      </c>
      <c r="AK1" s="12" t="s">
        <v>270</v>
      </c>
      <c r="AM1" s="12" t="s">
        <v>271</v>
      </c>
      <c r="AQ1" s="12" t="s">
        <v>272</v>
      </c>
      <c r="AS1" s="12" t="s">
        <v>273</v>
      </c>
    </row>
    <row r="2" spans="1:47" x14ac:dyDescent="0.25">
      <c r="A2" t="s">
        <v>64</v>
      </c>
      <c r="B2" s="7" t="s">
        <v>65</v>
      </c>
      <c r="C2" s="7" t="s">
        <v>34</v>
      </c>
      <c r="D2" s="14" t="s">
        <v>111</v>
      </c>
      <c r="E2" s="14"/>
      <c r="G2" t="s">
        <v>64</v>
      </c>
      <c r="H2" s="7" t="s">
        <v>65</v>
      </c>
      <c r="I2" s="7" t="s">
        <v>34</v>
      </c>
      <c r="J2" s="14" t="s">
        <v>111</v>
      </c>
      <c r="K2" s="14"/>
      <c r="M2" t="s">
        <v>64</v>
      </c>
      <c r="N2" s="7" t="s">
        <v>65</v>
      </c>
      <c r="O2" s="7" t="s">
        <v>34</v>
      </c>
      <c r="P2" s="14" t="s">
        <v>111</v>
      </c>
      <c r="Q2" s="14"/>
      <c r="S2" t="s">
        <v>64</v>
      </c>
      <c r="T2" s="7" t="s">
        <v>65</v>
      </c>
      <c r="U2" s="7" t="s">
        <v>34</v>
      </c>
      <c r="V2" s="14" t="s">
        <v>111</v>
      </c>
      <c r="W2" s="14"/>
      <c r="Y2" t="s">
        <v>64</v>
      </c>
      <c r="Z2" s="7" t="s">
        <v>65</v>
      </c>
      <c r="AA2" s="7" t="s">
        <v>34</v>
      </c>
      <c r="AB2" s="14" t="s">
        <v>111</v>
      </c>
      <c r="AC2" s="14"/>
      <c r="AE2" t="s">
        <v>64</v>
      </c>
      <c r="AF2" s="7" t="s">
        <v>65</v>
      </c>
      <c r="AG2" s="7" t="s">
        <v>34</v>
      </c>
      <c r="AH2" s="14" t="s">
        <v>111</v>
      </c>
      <c r="AI2" s="14"/>
      <c r="AK2" t="s">
        <v>64</v>
      </c>
      <c r="AL2" s="7" t="s">
        <v>65</v>
      </c>
      <c r="AM2" s="7" t="s">
        <v>34</v>
      </c>
      <c r="AN2" s="14" t="s">
        <v>111</v>
      </c>
      <c r="AO2" s="14"/>
      <c r="AQ2" t="s">
        <v>64</v>
      </c>
      <c r="AR2" s="7" t="s">
        <v>65</v>
      </c>
      <c r="AS2" s="7" t="s">
        <v>34</v>
      </c>
      <c r="AT2" s="14" t="s">
        <v>111</v>
      </c>
      <c r="AU2" s="14"/>
    </row>
    <row r="3" spans="1:47" x14ac:dyDescent="0.25">
      <c r="A3" s="20" t="s">
        <v>9</v>
      </c>
      <c r="B3" s="8">
        <v>80.494047323484324</v>
      </c>
      <c r="C3" s="8">
        <v>0.6652065206353085</v>
      </c>
      <c r="D3" s="8">
        <v>79.190242543039119</v>
      </c>
      <c r="E3" s="8">
        <v>81.797852103929529</v>
      </c>
      <c r="G3" s="20" t="s">
        <v>9</v>
      </c>
      <c r="H3" s="8">
        <v>99.307000000000002</v>
      </c>
      <c r="I3" s="8">
        <v>0.69499999999999995</v>
      </c>
      <c r="J3" s="8">
        <v>97.5</v>
      </c>
      <c r="K3" s="8">
        <v>100</v>
      </c>
      <c r="M3" s="20" t="s">
        <v>9</v>
      </c>
      <c r="N3" s="8">
        <v>99.715000000000003</v>
      </c>
      <c r="O3" s="8">
        <v>0.41399999999999998</v>
      </c>
      <c r="P3" s="8">
        <v>98.5</v>
      </c>
      <c r="Q3" s="8">
        <v>100</v>
      </c>
      <c r="S3" s="20" t="s">
        <v>9</v>
      </c>
      <c r="T3" s="8">
        <v>97.8</v>
      </c>
      <c r="U3" s="8">
        <v>1.5</v>
      </c>
      <c r="V3" s="8">
        <v>94.2</v>
      </c>
      <c r="W3" s="8">
        <v>99.9</v>
      </c>
      <c r="Y3" s="20" t="s">
        <v>9</v>
      </c>
      <c r="Z3" s="8">
        <v>55.341999999999999</v>
      </c>
      <c r="AA3" s="8">
        <v>4.1349999999999998</v>
      </c>
      <c r="AB3" s="8">
        <v>47.3</v>
      </c>
      <c r="AC3" s="8">
        <v>63.3</v>
      </c>
      <c r="AE3" s="20" t="s">
        <v>9</v>
      </c>
      <c r="AF3" s="8">
        <v>12.493</v>
      </c>
      <c r="AG3" s="8">
        <v>3.2869999999999999</v>
      </c>
      <c r="AH3" s="8">
        <v>6.7</v>
      </c>
      <c r="AI3" s="8">
        <v>19.5</v>
      </c>
      <c r="AK3" s="20" t="s">
        <v>9</v>
      </c>
      <c r="AL3" s="8">
        <v>5.7080000000000002</v>
      </c>
      <c r="AM3" s="8">
        <v>2.0190000000000001</v>
      </c>
      <c r="AN3" s="8">
        <v>2.2999999999999998</v>
      </c>
      <c r="AO3" s="8">
        <v>10.1</v>
      </c>
      <c r="AQ3" s="20" t="s">
        <v>9</v>
      </c>
      <c r="AR3" s="11">
        <v>2.331</v>
      </c>
      <c r="AS3" s="11">
        <v>1.5880000000000001</v>
      </c>
      <c r="AT3" s="11">
        <v>0.4</v>
      </c>
      <c r="AU3" s="11">
        <v>6.4</v>
      </c>
    </row>
    <row r="4" spans="1:47" x14ac:dyDescent="0.25">
      <c r="A4" s="21" t="s">
        <v>10</v>
      </c>
      <c r="B4" s="8">
        <v>67.910481623087946</v>
      </c>
      <c r="C4" s="8">
        <v>2.369894389677921</v>
      </c>
      <c r="D4" s="8">
        <v>63.265488619319221</v>
      </c>
      <c r="E4" s="8">
        <v>72.555474626856665</v>
      </c>
      <c r="G4" s="21" t="s">
        <v>10</v>
      </c>
      <c r="H4" s="8">
        <v>94.054000000000002</v>
      </c>
      <c r="I4" s="8">
        <v>4.1109999999999998</v>
      </c>
      <c r="J4" s="8">
        <v>83.7</v>
      </c>
      <c r="K4" s="8">
        <v>99</v>
      </c>
      <c r="M4" s="21" t="s">
        <v>10</v>
      </c>
      <c r="N4" s="8">
        <v>80.83</v>
      </c>
      <c r="O4" s="8">
        <v>6.17</v>
      </c>
      <c r="P4" s="8">
        <v>68.599999999999994</v>
      </c>
      <c r="Q4" s="8">
        <v>92.6</v>
      </c>
      <c r="S4" s="21" t="s">
        <v>10</v>
      </c>
      <c r="T4" s="8">
        <v>80.400000000000006</v>
      </c>
      <c r="U4" s="8">
        <v>6</v>
      </c>
      <c r="V4" s="8">
        <v>68</v>
      </c>
      <c r="W4" s="8">
        <v>91.5</v>
      </c>
      <c r="Y4" s="21" t="s">
        <v>10</v>
      </c>
      <c r="Z4" s="8">
        <v>37.069000000000003</v>
      </c>
      <c r="AA4" s="8">
        <v>3.7480000000000002</v>
      </c>
      <c r="AB4" s="8">
        <v>29.6</v>
      </c>
      <c r="AC4" s="8">
        <v>44.4</v>
      </c>
      <c r="AE4" s="21" t="s">
        <v>10</v>
      </c>
      <c r="AF4" s="8">
        <v>7.49</v>
      </c>
      <c r="AG4" s="8">
        <v>2.456</v>
      </c>
      <c r="AH4" s="8">
        <v>3</v>
      </c>
      <c r="AI4" s="8">
        <v>12.6</v>
      </c>
      <c r="AK4" s="21" t="s">
        <v>10</v>
      </c>
      <c r="AL4" s="8">
        <v>2.8719999999999999</v>
      </c>
      <c r="AM4" s="8">
        <v>1.1839999999999999</v>
      </c>
      <c r="AN4" s="8">
        <v>1</v>
      </c>
      <c r="AO4" s="8">
        <v>5.6</v>
      </c>
      <c r="AQ4" s="21" t="s">
        <v>10</v>
      </c>
      <c r="AR4" s="11">
        <v>1.75</v>
      </c>
      <c r="AS4" s="11">
        <v>1.1930000000000001</v>
      </c>
      <c r="AT4" s="11">
        <v>0.2</v>
      </c>
      <c r="AU4" s="11">
        <v>4.7</v>
      </c>
    </row>
    <row r="5" spans="1:47" x14ac:dyDescent="0.25">
      <c r="A5" s="21" t="s">
        <v>101</v>
      </c>
      <c r="B5" s="8">
        <v>12.536503764403035</v>
      </c>
      <c r="C5" s="8">
        <v>2.4083610195844489</v>
      </c>
      <c r="D5" s="8">
        <v>7.8161161660175154</v>
      </c>
      <c r="E5" s="8">
        <v>17.256891362788554</v>
      </c>
      <c r="G5" s="21" t="s">
        <v>101</v>
      </c>
      <c r="H5" s="8">
        <v>5.1950000000000003</v>
      </c>
      <c r="I5" s="8">
        <v>4.0650000000000004</v>
      </c>
      <c r="J5" s="8">
        <v>0.1</v>
      </c>
      <c r="K5" s="8">
        <v>15.5</v>
      </c>
      <c r="M5" s="21" t="s">
        <v>101</v>
      </c>
      <c r="N5" s="8">
        <v>18.838000000000001</v>
      </c>
      <c r="O5" s="8">
        <v>6.173</v>
      </c>
      <c r="P5" s="8">
        <v>7.1</v>
      </c>
      <c r="Q5" s="8">
        <v>31.001999999999999</v>
      </c>
      <c r="S5" s="21" t="s">
        <v>101</v>
      </c>
      <c r="T5" s="8">
        <v>17.3</v>
      </c>
      <c r="U5" s="8">
        <v>6.3</v>
      </c>
      <c r="V5" s="8">
        <v>5.7</v>
      </c>
      <c r="W5" s="8">
        <v>30.3</v>
      </c>
      <c r="Y5" s="21" t="s">
        <v>101</v>
      </c>
      <c r="Z5" s="8">
        <v>18.277999999999999</v>
      </c>
      <c r="AA5" s="8">
        <v>4.2789999999999999</v>
      </c>
      <c r="AB5" s="8">
        <v>10.5</v>
      </c>
      <c r="AC5" s="8">
        <v>27.2</v>
      </c>
      <c r="AE5" s="21" t="s">
        <v>101</v>
      </c>
      <c r="AF5" s="8">
        <v>4.9950000000000001</v>
      </c>
      <c r="AG5" s="8">
        <v>3.3210000000000002</v>
      </c>
      <c r="AH5" s="8">
        <v>0</v>
      </c>
      <c r="AI5" s="8">
        <v>12.3</v>
      </c>
      <c r="AK5" s="21" t="s">
        <v>101</v>
      </c>
      <c r="AL5" s="8">
        <v>2.827</v>
      </c>
      <c r="AM5" s="8">
        <v>1.7629999999999999</v>
      </c>
      <c r="AN5" s="8">
        <v>0.1</v>
      </c>
      <c r="AO5" s="8">
        <v>6.9</v>
      </c>
      <c r="AQ5" s="21" t="s">
        <v>101</v>
      </c>
      <c r="AR5" s="11">
        <v>0.58699999999999997</v>
      </c>
      <c r="AS5" s="11">
        <v>1.139</v>
      </c>
      <c r="AT5" s="11">
        <v>0</v>
      </c>
      <c r="AU5" s="11">
        <v>4.0999999999999996</v>
      </c>
    </row>
    <row r="6" spans="1:47" x14ac:dyDescent="0.25">
      <c r="A6" s="22" t="s">
        <v>126</v>
      </c>
      <c r="B6" s="8">
        <v>8.1779317392352233</v>
      </c>
      <c r="C6" s="8">
        <v>2.6287430848104041</v>
      </c>
      <c r="D6" s="8">
        <v>3.0255952930068313</v>
      </c>
      <c r="E6" s="8">
        <v>13.330268185463616</v>
      </c>
      <c r="G6" s="22" t="s">
        <v>126</v>
      </c>
      <c r="H6" s="8">
        <v>3.8260000000000001</v>
      </c>
      <c r="I6" s="8">
        <v>4.4450000000000003</v>
      </c>
      <c r="J6" s="8">
        <v>0</v>
      </c>
      <c r="K6" s="8">
        <v>15.2</v>
      </c>
      <c r="M6" s="22" t="s">
        <v>126</v>
      </c>
      <c r="N6" s="8">
        <v>12.584</v>
      </c>
      <c r="O6" s="8">
        <v>6.6</v>
      </c>
      <c r="P6" s="8">
        <v>0.1</v>
      </c>
      <c r="Q6" s="8">
        <v>25.6</v>
      </c>
      <c r="S6" s="22" t="s">
        <v>126</v>
      </c>
      <c r="T6" s="8">
        <v>13.5</v>
      </c>
      <c r="U6" s="8">
        <v>7.1</v>
      </c>
      <c r="V6" s="8">
        <v>0.1</v>
      </c>
      <c r="W6" s="8">
        <v>28</v>
      </c>
      <c r="Y6" s="22" t="s">
        <v>126</v>
      </c>
      <c r="Z6" s="8">
        <v>7.1710000000000003</v>
      </c>
      <c r="AA6" s="8">
        <v>4.9530000000000003</v>
      </c>
      <c r="AB6" s="8">
        <v>0</v>
      </c>
      <c r="AC6" s="8">
        <v>19.899999999999999</v>
      </c>
      <c r="AE6" s="22" t="s">
        <v>126</v>
      </c>
      <c r="AF6" s="8">
        <v>4.1289999999999996</v>
      </c>
      <c r="AG6" s="8">
        <v>3.36</v>
      </c>
      <c r="AH6" s="8">
        <v>0</v>
      </c>
      <c r="AI6" s="8">
        <v>11.7</v>
      </c>
      <c r="AK6" s="22" t="s">
        <v>126</v>
      </c>
      <c r="AL6" s="8">
        <v>0.97199999999999998</v>
      </c>
      <c r="AM6" s="8">
        <v>1.5169999999999999</v>
      </c>
      <c r="AN6" s="8">
        <v>0</v>
      </c>
      <c r="AO6" s="8">
        <v>5.3</v>
      </c>
      <c r="AQ6" s="22" t="s">
        <v>126</v>
      </c>
      <c r="AR6" s="11">
        <v>0.496</v>
      </c>
      <c r="AS6" s="11">
        <v>1.0680000000000001</v>
      </c>
      <c r="AT6" s="11">
        <v>0</v>
      </c>
      <c r="AU6" s="11">
        <v>3.8</v>
      </c>
    </row>
    <row r="7" spans="1:47" x14ac:dyDescent="0.25">
      <c r="A7" s="22" t="s">
        <v>103</v>
      </c>
      <c r="B7" s="8">
        <v>4.3551712488013496</v>
      </c>
      <c r="C7" s="8">
        <v>1.073562600056027</v>
      </c>
      <c r="D7" s="8">
        <v>2.250988552691537</v>
      </c>
      <c r="E7" s="8">
        <v>6.4593539449111628</v>
      </c>
      <c r="G7" s="22" t="s">
        <v>103</v>
      </c>
      <c r="H7" s="8">
        <v>1.371</v>
      </c>
      <c r="I7" s="8">
        <v>1.599</v>
      </c>
      <c r="J7" s="8">
        <v>0</v>
      </c>
      <c r="K7" s="8">
        <v>5.2</v>
      </c>
      <c r="M7" s="22" t="s">
        <v>103</v>
      </c>
      <c r="N7" s="8">
        <v>6.2359999999999998</v>
      </c>
      <c r="O7" s="8">
        <v>2.3199999999999998</v>
      </c>
      <c r="P7" s="8">
        <v>2.2000000000000002</v>
      </c>
      <c r="Q7" s="8">
        <v>11.2</v>
      </c>
      <c r="S7" s="22" t="s">
        <v>103</v>
      </c>
      <c r="T7" s="8">
        <v>3.8</v>
      </c>
      <c r="U7" s="8">
        <v>2.8</v>
      </c>
      <c r="V7" s="8">
        <v>0</v>
      </c>
      <c r="W7" s="8">
        <v>9.6999999999999993</v>
      </c>
      <c r="Y7" s="22" t="s">
        <v>103</v>
      </c>
      <c r="Z7" s="8">
        <v>11.105</v>
      </c>
      <c r="AA7" s="8">
        <v>4.1230000000000002</v>
      </c>
      <c r="AB7" s="8">
        <v>1.8</v>
      </c>
      <c r="AC7" s="8">
        <v>19.3</v>
      </c>
      <c r="AE7" s="22" t="s">
        <v>103</v>
      </c>
      <c r="AF7" s="8">
        <v>0.874</v>
      </c>
      <c r="AG7" s="8">
        <v>1.772</v>
      </c>
      <c r="AH7" s="8">
        <v>0</v>
      </c>
      <c r="AI7" s="8">
        <v>6.3</v>
      </c>
      <c r="AK7" s="22" t="s">
        <v>103</v>
      </c>
      <c r="AL7" s="8">
        <v>1.863</v>
      </c>
      <c r="AM7" s="8">
        <v>1.6830000000000001</v>
      </c>
      <c r="AN7" s="8">
        <v>0</v>
      </c>
      <c r="AO7" s="8">
        <v>5.8</v>
      </c>
      <c r="AQ7" s="22" t="s">
        <v>103</v>
      </c>
      <c r="AR7" s="11">
        <v>0.104</v>
      </c>
      <c r="AS7" s="11">
        <v>0.40500000000000003</v>
      </c>
      <c r="AT7" s="11">
        <v>0</v>
      </c>
      <c r="AU7" s="11">
        <v>1.1000000000000001</v>
      </c>
    </row>
    <row r="8" spans="1:47" x14ac:dyDescent="0.25">
      <c r="A8" s="20" t="s">
        <v>11</v>
      </c>
      <c r="B8" s="8">
        <v>19.505952676515687</v>
      </c>
      <c r="C8" s="8">
        <v>0.66539685921753877</v>
      </c>
      <c r="D8" s="8">
        <v>18.20177483244931</v>
      </c>
      <c r="E8" s="8">
        <v>20.810130520582064</v>
      </c>
      <c r="G8" s="20" t="s">
        <v>11</v>
      </c>
      <c r="H8" s="8">
        <v>0.69299999999999995</v>
      </c>
      <c r="I8" s="8">
        <v>0.69599999999999995</v>
      </c>
      <c r="J8" s="8">
        <v>0</v>
      </c>
      <c r="K8" s="8">
        <v>2.5</v>
      </c>
      <c r="M8" s="20" t="s">
        <v>11</v>
      </c>
      <c r="N8" s="8">
        <v>0.28499999999999998</v>
      </c>
      <c r="O8" s="8">
        <v>0.41399999999999998</v>
      </c>
      <c r="P8" s="8">
        <v>0</v>
      </c>
      <c r="Q8" s="8">
        <v>1.5</v>
      </c>
      <c r="S8" s="20" t="s">
        <v>11</v>
      </c>
      <c r="T8" s="8">
        <v>2.2000000000000002</v>
      </c>
      <c r="U8" s="8">
        <v>1.5</v>
      </c>
      <c r="V8" s="8">
        <v>0.1</v>
      </c>
      <c r="W8" s="8">
        <v>5.8</v>
      </c>
      <c r="Y8" s="20" t="s">
        <v>11</v>
      </c>
      <c r="Z8" s="8">
        <v>44.658000000000001</v>
      </c>
      <c r="AA8" s="8">
        <v>4.1360000000000001</v>
      </c>
      <c r="AB8" s="8">
        <v>36.698</v>
      </c>
      <c r="AC8" s="8">
        <v>52.7</v>
      </c>
      <c r="AE8" s="20" t="s">
        <v>11</v>
      </c>
      <c r="AF8" s="8">
        <v>87.507000000000005</v>
      </c>
      <c r="AG8" s="8">
        <v>3.2879999999999998</v>
      </c>
      <c r="AH8" s="8">
        <v>80.498000000000005</v>
      </c>
      <c r="AI8" s="8">
        <v>93.3</v>
      </c>
      <c r="AK8" s="20" t="s">
        <v>11</v>
      </c>
      <c r="AL8" s="8">
        <v>94.292000000000002</v>
      </c>
      <c r="AM8" s="8">
        <v>2.0190000000000001</v>
      </c>
      <c r="AN8" s="8">
        <v>89.9</v>
      </c>
      <c r="AO8" s="8">
        <v>97.7</v>
      </c>
      <c r="AQ8" s="20" t="s">
        <v>11</v>
      </c>
      <c r="AR8" s="11">
        <v>97.668999999999997</v>
      </c>
      <c r="AS8" s="11">
        <v>1.5880000000000001</v>
      </c>
      <c r="AT8" s="11">
        <v>93.6</v>
      </c>
      <c r="AU8" s="11">
        <v>99.6</v>
      </c>
    </row>
    <row r="9" spans="1:47" x14ac:dyDescent="0.25">
      <c r="A9" s="21" t="s">
        <v>103</v>
      </c>
      <c r="B9" s="8">
        <v>8.4363926547733215</v>
      </c>
      <c r="C9" s="8">
        <v>0.51201855182777201</v>
      </c>
      <c r="D9" s="8">
        <v>7.4328362931908885</v>
      </c>
      <c r="E9" s="8">
        <v>9.4399490163557545</v>
      </c>
      <c r="G9" s="21" t="s">
        <v>103</v>
      </c>
      <c r="H9" s="8">
        <v>0.217</v>
      </c>
      <c r="I9" s="8">
        <v>0.42499999999999999</v>
      </c>
      <c r="J9" s="8">
        <v>0</v>
      </c>
      <c r="K9" s="8">
        <v>1.4</v>
      </c>
      <c r="M9" s="21" t="s">
        <v>103</v>
      </c>
      <c r="N9" s="8">
        <v>0.113</v>
      </c>
      <c r="O9" s="8">
        <v>0.24399999999999999</v>
      </c>
      <c r="P9" s="8">
        <v>0</v>
      </c>
      <c r="Q9" s="8">
        <v>0.8</v>
      </c>
      <c r="S9" s="21" t="s">
        <v>103</v>
      </c>
      <c r="T9" s="8">
        <v>0.3</v>
      </c>
      <c r="U9" s="8">
        <v>0.5</v>
      </c>
      <c r="V9" s="8">
        <v>0</v>
      </c>
      <c r="W9" s="8">
        <v>1.8</v>
      </c>
      <c r="Y9" s="21" t="s">
        <v>103</v>
      </c>
      <c r="Z9" s="8">
        <v>4.9489999999999998</v>
      </c>
      <c r="AA9" s="8">
        <v>2.6840000000000002</v>
      </c>
      <c r="AB9" s="8">
        <v>0.4</v>
      </c>
      <c r="AC9" s="8">
        <v>10.802</v>
      </c>
      <c r="AE9" s="21" t="s">
        <v>103</v>
      </c>
      <c r="AF9" s="8">
        <v>34.296999999999997</v>
      </c>
      <c r="AG9" s="8">
        <v>4.2690000000000001</v>
      </c>
      <c r="AH9" s="8">
        <v>26</v>
      </c>
      <c r="AI9" s="8">
        <v>42.7</v>
      </c>
      <c r="AK9" s="21" t="s">
        <v>103</v>
      </c>
      <c r="AL9" s="8">
        <v>59.99</v>
      </c>
      <c r="AM9" s="8">
        <v>3.819</v>
      </c>
      <c r="AN9" s="8">
        <v>52.398000000000003</v>
      </c>
      <c r="AO9" s="8">
        <v>67.2</v>
      </c>
      <c r="AQ9" s="21" t="s">
        <v>103</v>
      </c>
      <c r="AR9" s="11">
        <v>73.775000000000006</v>
      </c>
      <c r="AS9" s="11">
        <v>4.6219999999999999</v>
      </c>
      <c r="AT9" s="11">
        <v>64.3</v>
      </c>
      <c r="AU9" s="11">
        <v>82.5</v>
      </c>
    </row>
    <row r="10" spans="1:47" x14ac:dyDescent="0.25">
      <c r="A10" s="21" t="s">
        <v>38</v>
      </c>
      <c r="B10" s="8">
        <v>6.4133971252903681</v>
      </c>
      <c r="C10" s="8">
        <v>0.7749385048948223</v>
      </c>
      <c r="D10" s="8">
        <v>4.8945176556965162</v>
      </c>
      <c r="E10" s="8">
        <v>7.93227659488422</v>
      </c>
      <c r="G10" s="21" t="s">
        <v>38</v>
      </c>
      <c r="H10" s="8">
        <v>0.28499999999999998</v>
      </c>
      <c r="I10" s="8">
        <v>0.46400000000000002</v>
      </c>
      <c r="J10" s="8">
        <v>0</v>
      </c>
      <c r="K10" s="8">
        <v>1.6</v>
      </c>
      <c r="M10" s="21" t="s">
        <v>38</v>
      </c>
      <c r="N10" s="8">
        <v>8.8999999999999996E-2</v>
      </c>
      <c r="O10" s="8">
        <v>0.23799999999999999</v>
      </c>
      <c r="P10" s="8">
        <v>0</v>
      </c>
      <c r="Q10" s="8">
        <v>0.7</v>
      </c>
      <c r="S10" s="21" t="s">
        <v>38</v>
      </c>
      <c r="T10" s="8">
        <v>0.9</v>
      </c>
      <c r="U10" s="8">
        <v>1.3</v>
      </c>
      <c r="V10" s="8">
        <v>0</v>
      </c>
      <c r="W10" s="8">
        <v>4.7</v>
      </c>
      <c r="Y10" s="21" t="s">
        <v>38</v>
      </c>
      <c r="Z10" s="8">
        <v>28.396999999999998</v>
      </c>
      <c r="AA10" s="8">
        <v>4.7990000000000004</v>
      </c>
      <c r="AB10" s="8">
        <v>19</v>
      </c>
      <c r="AC10" s="8">
        <v>37.700000000000003</v>
      </c>
      <c r="AE10" s="21" t="s">
        <v>38</v>
      </c>
      <c r="AF10" s="8">
        <v>25.629000000000001</v>
      </c>
      <c r="AG10" s="8">
        <v>5.8460000000000001</v>
      </c>
      <c r="AH10" s="8">
        <v>14.8</v>
      </c>
      <c r="AI10" s="8">
        <v>37</v>
      </c>
      <c r="AK10" s="21" t="s">
        <v>38</v>
      </c>
      <c r="AL10" s="8">
        <v>19.966999999999999</v>
      </c>
      <c r="AM10" s="8">
        <v>3.8620000000000001</v>
      </c>
      <c r="AN10" s="8">
        <v>12.8</v>
      </c>
      <c r="AO10" s="8">
        <v>27.9</v>
      </c>
      <c r="AQ10" s="21" t="s">
        <v>38</v>
      </c>
      <c r="AR10" s="11">
        <v>2.3889999999999998</v>
      </c>
      <c r="AS10" s="11">
        <v>3.5979999999999999</v>
      </c>
      <c r="AT10" s="11">
        <v>0</v>
      </c>
      <c r="AU10" s="11">
        <v>12.3</v>
      </c>
    </row>
    <row r="11" spans="1:47" x14ac:dyDescent="0.25">
      <c r="A11" s="21" t="s">
        <v>104</v>
      </c>
      <c r="B11" s="8">
        <v>2.8343953069314041</v>
      </c>
      <c r="C11" s="8">
        <v>0.6036252035449664</v>
      </c>
      <c r="D11" s="8">
        <v>1.6512899079832699</v>
      </c>
      <c r="E11" s="8">
        <v>4.017500705879538</v>
      </c>
      <c r="G11" s="21" t="s">
        <v>104</v>
      </c>
      <c r="H11" s="8">
        <v>0.19</v>
      </c>
      <c r="I11" s="8">
        <v>0.34699999999999998</v>
      </c>
      <c r="J11" s="8">
        <v>0</v>
      </c>
      <c r="K11" s="8">
        <v>1.2</v>
      </c>
      <c r="M11" s="21" t="s">
        <v>104</v>
      </c>
      <c r="N11" s="8">
        <v>9.1999999999999998E-2</v>
      </c>
      <c r="O11" s="8">
        <v>0.20699999999999999</v>
      </c>
      <c r="P11" s="8">
        <v>0</v>
      </c>
      <c r="Q11" s="8">
        <v>0.7</v>
      </c>
      <c r="S11" s="21" t="s">
        <v>104</v>
      </c>
      <c r="T11" s="8">
        <v>0.9</v>
      </c>
      <c r="U11" s="8">
        <v>1</v>
      </c>
      <c r="V11" s="8">
        <v>0</v>
      </c>
      <c r="W11" s="8">
        <v>3.5</v>
      </c>
      <c r="Y11" s="21" t="s">
        <v>104</v>
      </c>
      <c r="Z11" s="8">
        <v>5.8780000000000001</v>
      </c>
      <c r="AA11" s="8">
        <v>3.3740000000000001</v>
      </c>
      <c r="AB11" s="8">
        <v>0</v>
      </c>
      <c r="AC11" s="8">
        <v>13.002000000000001</v>
      </c>
      <c r="AE11" s="21" t="s">
        <v>104</v>
      </c>
      <c r="AF11" s="8">
        <v>19.309999999999999</v>
      </c>
      <c r="AG11" s="8">
        <v>5.5309999999999997</v>
      </c>
      <c r="AH11" s="8">
        <v>9</v>
      </c>
      <c r="AI11" s="8">
        <v>30.102</v>
      </c>
      <c r="AK11" s="21" t="s">
        <v>104</v>
      </c>
      <c r="AL11" s="8">
        <v>6.3120000000000003</v>
      </c>
      <c r="AM11" s="8">
        <v>2.9969999999999999</v>
      </c>
      <c r="AN11" s="8">
        <v>1</v>
      </c>
      <c r="AO11" s="8">
        <v>12.8</v>
      </c>
      <c r="AQ11" s="21" t="s">
        <v>104</v>
      </c>
      <c r="AR11" s="11">
        <v>14.605</v>
      </c>
      <c r="AS11" s="11">
        <v>4.734</v>
      </c>
      <c r="AT11" s="11">
        <v>5</v>
      </c>
      <c r="AU11" s="11">
        <v>23.6</v>
      </c>
    </row>
    <row r="12" spans="1:47" x14ac:dyDescent="0.25">
      <c r="A12" s="22" t="s">
        <v>14</v>
      </c>
      <c r="B12" s="8">
        <v>1.2822265790134915</v>
      </c>
      <c r="C12" s="8">
        <v>0.59472279401694006</v>
      </c>
      <c r="D12" s="8">
        <v>0.11656990274028889</v>
      </c>
      <c r="E12" s="8">
        <v>2.447883255286694</v>
      </c>
      <c r="G12" s="22" t="s">
        <v>14</v>
      </c>
      <c r="H12" s="8">
        <v>0.13</v>
      </c>
      <c r="I12" s="8">
        <v>0.312</v>
      </c>
      <c r="J12" s="8">
        <v>0</v>
      </c>
      <c r="K12" s="8">
        <v>1.1000000000000001</v>
      </c>
      <c r="M12" s="22" t="s">
        <v>14</v>
      </c>
      <c r="N12" s="8">
        <v>1.7000000000000001E-2</v>
      </c>
      <c r="O12" s="8">
        <v>7.0999999999999994E-2</v>
      </c>
      <c r="P12" s="8">
        <v>0</v>
      </c>
      <c r="Q12" s="8">
        <v>0.1</v>
      </c>
      <c r="S12" s="22" t="s">
        <v>14</v>
      </c>
      <c r="T12" s="8">
        <v>0.2</v>
      </c>
      <c r="U12" s="8">
        <v>0.6</v>
      </c>
      <c r="V12" s="8">
        <v>0</v>
      </c>
      <c r="W12" s="8">
        <v>2.1</v>
      </c>
      <c r="Y12" s="22" t="s">
        <v>14</v>
      </c>
      <c r="Z12" s="8">
        <v>4.0220000000000002</v>
      </c>
      <c r="AA12" s="8">
        <v>3.8740000000000001</v>
      </c>
      <c r="AB12" s="8">
        <v>0</v>
      </c>
      <c r="AC12" s="8">
        <v>12.2</v>
      </c>
      <c r="AE12" s="22" t="s">
        <v>14</v>
      </c>
      <c r="AF12" s="8">
        <v>4.87</v>
      </c>
      <c r="AG12" s="8">
        <v>4.9729999999999999</v>
      </c>
      <c r="AH12" s="8">
        <v>0</v>
      </c>
      <c r="AI12" s="8">
        <v>15.4</v>
      </c>
      <c r="AK12" s="22" t="s">
        <v>14</v>
      </c>
      <c r="AL12" s="8">
        <v>7.8E-2</v>
      </c>
      <c r="AM12" s="8">
        <v>0.35799999999999998</v>
      </c>
      <c r="AN12" s="8">
        <v>0</v>
      </c>
      <c r="AO12" s="8">
        <v>0.9</v>
      </c>
      <c r="AQ12" s="22" t="s">
        <v>14</v>
      </c>
      <c r="AR12" s="11">
        <v>13.196</v>
      </c>
      <c r="AS12" s="11">
        <v>4.8860000000000001</v>
      </c>
      <c r="AT12" s="11">
        <v>2.7</v>
      </c>
      <c r="AU12" s="11">
        <v>22.3</v>
      </c>
    </row>
    <row r="13" spans="1:47" x14ac:dyDescent="0.25">
      <c r="A13" s="22" t="s">
        <v>15</v>
      </c>
      <c r="B13" s="8">
        <v>1.5576519591202547</v>
      </c>
      <c r="C13" s="8">
        <v>0.47609638324613363</v>
      </c>
      <c r="D13" s="8">
        <v>0.62450304795783274</v>
      </c>
      <c r="E13" s="8">
        <v>2.4908008702826767</v>
      </c>
      <c r="G13" s="22" t="s">
        <v>15</v>
      </c>
      <c r="H13" s="8">
        <v>6.8000000000000005E-2</v>
      </c>
      <c r="I13" s="8">
        <v>0.16500000000000001</v>
      </c>
      <c r="J13" s="8">
        <v>0</v>
      </c>
      <c r="K13" s="8">
        <v>0.5</v>
      </c>
      <c r="M13" s="22" t="s">
        <v>15</v>
      </c>
      <c r="N13" s="8">
        <v>8.1000000000000003E-2</v>
      </c>
      <c r="O13" s="8">
        <v>0.19700000000000001</v>
      </c>
      <c r="P13" s="8">
        <v>0</v>
      </c>
      <c r="Q13" s="8">
        <v>0.6</v>
      </c>
      <c r="S13" s="22" t="s">
        <v>15</v>
      </c>
      <c r="T13" s="8">
        <v>0.7</v>
      </c>
      <c r="U13" s="8">
        <v>0.9</v>
      </c>
      <c r="V13" s="8">
        <v>0</v>
      </c>
      <c r="W13" s="8">
        <v>3.1</v>
      </c>
      <c r="Y13" s="22" t="s">
        <v>15</v>
      </c>
      <c r="Z13" s="8">
        <v>1.863</v>
      </c>
      <c r="AA13" s="8">
        <v>2.56</v>
      </c>
      <c r="AB13" s="8">
        <v>0</v>
      </c>
      <c r="AC13" s="8">
        <v>8.6</v>
      </c>
      <c r="AE13" s="22" t="s">
        <v>15</v>
      </c>
      <c r="AF13" s="8">
        <v>14.443</v>
      </c>
      <c r="AG13" s="8">
        <v>4.399</v>
      </c>
      <c r="AH13" s="8">
        <v>6.6</v>
      </c>
      <c r="AI13" s="8">
        <v>23.8</v>
      </c>
      <c r="AK13" s="22" t="s">
        <v>15</v>
      </c>
      <c r="AL13" s="8">
        <v>6.2409999999999997</v>
      </c>
      <c r="AM13" s="8">
        <v>2.9980000000000002</v>
      </c>
      <c r="AN13" s="8">
        <v>0.998</v>
      </c>
      <c r="AO13" s="8">
        <v>12.702</v>
      </c>
      <c r="AQ13" s="22" t="s">
        <v>15</v>
      </c>
      <c r="AR13" s="11">
        <v>1.415</v>
      </c>
      <c r="AS13" s="11">
        <v>2.7450000000000001</v>
      </c>
      <c r="AT13" s="11">
        <v>0</v>
      </c>
      <c r="AU13" s="11">
        <v>9.9</v>
      </c>
    </row>
    <row r="14" spans="1:47" x14ac:dyDescent="0.25">
      <c r="A14" s="21" t="s">
        <v>105</v>
      </c>
      <c r="B14" s="8">
        <v>1.8647113701278388</v>
      </c>
      <c r="C14" s="8">
        <v>0.27420883093139004</v>
      </c>
      <c r="D14" s="8">
        <v>1.3272620615023145</v>
      </c>
      <c r="E14" s="8">
        <v>2.4021606787533631</v>
      </c>
      <c r="G14" s="21" t="s">
        <v>105</v>
      </c>
      <c r="H14" s="8">
        <v>4.4999999999999998E-2</v>
      </c>
      <c r="I14" s="8">
        <v>0.112</v>
      </c>
      <c r="J14" s="8">
        <v>0</v>
      </c>
      <c r="K14" s="8">
        <v>0.3</v>
      </c>
      <c r="M14" s="21" t="s">
        <v>105</v>
      </c>
      <c r="N14" s="8">
        <v>4.7E-2</v>
      </c>
      <c r="O14" s="8">
        <v>0.11899999999999999</v>
      </c>
      <c r="P14" s="8">
        <v>0</v>
      </c>
      <c r="Q14" s="8">
        <v>0.3</v>
      </c>
      <c r="S14" s="21" t="s">
        <v>105</v>
      </c>
      <c r="T14" s="8">
        <v>0.2</v>
      </c>
      <c r="U14" s="8">
        <v>0.3</v>
      </c>
      <c r="V14" s="8">
        <v>0</v>
      </c>
      <c r="W14" s="8">
        <v>1.2</v>
      </c>
      <c r="Y14" s="21" t="s">
        <v>105</v>
      </c>
      <c r="Z14" s="8">
        <v>5.4160000000000004</v>
      </c>
      <c r="AA14" s="8">
        <v>1.5549999999999999</v>
      </c>
      <c r="AB14" s="8">
        <v>2.7</v>
      </c>
      <c r="AC14" s="8">
        <v>8.8000000000000007</v>
      </c>
      <c r="AE14" s="21" t="s">
        <v>105</v>
      </c>
      <c r="AF14" s="8">
        <v>8.2710000000000008</v>
      </c>
      <c r="AG14" s="8">
        <v>2.145</v>
      </c>
      <c r="AH14" s="8">
        <v>4.4000000000000004</v>
      </c>
      <c r="AI14" s="8">
        <v>12.8</v>
      </c>
      <c r="AK14" s="21" t="s">
        <v>105</v>
      </c>
      <c r="AL14" s="8">
        <v>8.0229999999999997</v>
      </c>
      <c r="AM14" s="8">
        <v>1.891</v>
      </c>
      <c r="AN14" s="8">
        <v>4.7</v>
      </c>
      <c r="AO14" s="8">
        <v>12.1</v>
      </c>
      <c r="AQ14" s="21" t="s">
        <v>105</v>
      </c>
      <c r="AR14" s="11">
        <v>6.8869999999999996</v>
      </c>
      <c r="AS14" s="11">
        <v>2.5739999999999998</v>
      </c>
      <c r="AT14" s="11">
        <v>2.6</v>
      </c>
      <c r="AU14" s="11">
        <v>12.7</v>
      </c>
    </row>
    <row r="15" spans="1:47" x14ac:dyDescent="0.25">
      <c r="A15" s="22" t="s">
        <v>17</v>
      </c>
      <c r="B15" s="8">
        <v>1.4746691868663822</v>
      </c>
      <c r="C15" s="8">
        <v>0.24549618529895439</v>
      </c>
      <c r="D15" s="8">
        <v>0.99349666368043155</v>
      </c>
      <c r="E15" s="8">
        <v>1.9558417100523329</v>
      </c>
      <c r="G15" s="22" t="s">
        <v>17</v>
      </c>
      <c r="H15" s="8">
        <v>0.03</v>
      </c>
      <c r="I15" s="8">
        <v>8.8999999999999996E-2</v>
      </c>
      <c r="J15" s="8">
        <v>0</v>
      </c>
      <c r="K15" s="8">
        <v>0.2</v>
      </c>
      <c r="M15" s="22" t="s">
        <v>17</v>
      </c>
      <c r="N15" s="8">
        <v>3.1E-2</v>
      </c>
      <c r="O15" s="8">
        <v>9.6000000000000002E-2</v>
      </c>
      <c r="P15" s="8">
        <v>0</v>
      </c>
      <c r="Q15" s="8">
        <v>0.2</v>
      </c>
      <c r="S15" s="22" t="s">
        <v>17</v>
      </c>
      <c r="T15" s="8">
        <v>0</v>
      </c>
      <c r="U15" s="8">
        <v>0.1</v>
      </c>
      <c r="V15" s="8">
        <v>0</v>
      </c>
      <c r="W15" s="8">
        <v>0.3</v>
      </c>
      <c r="Y15" s="22" t="s">
        <v>17</v>
      </c>
      <c r="Z15" s="8">
        <v>5.3929999999999998</v>
      </c>
      <c r="AA15" s="8">
        <v>1.5509999999999999</v>
      </c>
      <c r="AB15" s="8">
        <v>2.7</v>
      </c>
      <c r="AC15" s="8">
        <v>8.8000000000000007</v>
      </c>
      <c r="AE15" s="22" t="s">
        <v>17</v>
      </c>
      <c r="AF15" s="8">
        <v>6.95</v>
      </c>
      <c r="AG15" s="8">
        <v>1.86</v>
      </c>
      <c r="AH15" s="8">
        <v>3.7</v>
      </c>
      <c r="AI15" s="8">
        <v>10.9</v>
      </c>
      <c r="AK15" s="22" t="s">
        <v>17</v>
      </c>
      <c r="AL15" s="8">
        <v>5.33</v>
      </c>
      <c r="AM15" s="8">
        <v>1.4770000000000001</v>
      </c>
      <c r="AN15" s="8">
        <v>2.8</v>
      </c>
      <c r="AO15" s="8">
        <v>8.5</v>
      </c>
      <c r="AQ15" s="22" t="s">
        <v>17</v>
      </c>
      <c r="AR15" s="11">
        <v>3.2869999999999999</v>
      </c>
      <c r="AS15" s="11">
        <v>1.804</v>
      </c>
      <c r="AT15" s="11">
        <v>0.5</v>
      </c>
      <c r="AU15" s="11">
        <v>7.4</v>
      </c>
    </row>
    <row r="16" spans="1:47" x14ac:dyDescent="0.25">
      <c r="A16" s="22" t="s">
        <v>18</v>
      </c>
      <c r="B16" s="8">
        <v>0.37394739168559721</v>
      </c>
      <c r="C16" s="8">
        <v>0.12712670382890534</v>
      </c>
      <c r="D16" s="8">
        <v>0.12477905218094273</v>
      </c>
      <c r="E16" s="8">
        <v>0.62311573119025165</v>
      </c>
      <c r="G16" s="22" t="s">
        <v>18</v>
      </c>
      <c r="H16" s="8">
        <v>1.9E-2</v>
      </c>
      <c r="I16" s="8">
        <v>7.3999999999999996E-2</v>
      </c>
      <c r="J16" s="8">
        <v>0</v>
      </c>
      <c r="K16" s="8">
        <v>0.1</v>
      </c>
      <c r="M16" s="22" t="s">
        <v>18</v>
      </c>
      <c r="N16" s="8">
        <v>1.9E-2</v>
      </c>
      <c r="O16" s="8">
        <v>7.6999999999999999E-2</v>
      </c>
      <c r="P16" s="8">
        <v>0</v>
      </c>
      <c r="Q16" s="8">
        <v>0.1</v>
      </c>
      <c r="S16" s="22" t="s">
        <v>18</v>
      </c>
      <c r="T16" s="8">
        <v>0.1</v>
      </c>
      <c r="U16" s="8">
        <v>0.3</v>
      </c>
      <c r="V16" s="8">
        <v>0</v>
      </c>
      <c r="W16" s="8">
        <v>1.1000000000000001</v>
      </c>
      <c r="Y16" s="22" t="s">
        <v>18</v>
      </c>
      <c r="Z16" s="8">
        <v>3.1E-2</v>
      </c>
      <c r="AA16" s="8">
        <v>0.13200000000000001</v>
      </c>
      <c r="AB16" s="8">
        <v>0</v>
      </c>
      <c r="AC16" s="8">
        <v>0.3</v>
      </c>
      <c r="AE16" s="22" t="s">
        <v>18</v>
      </c>
      <c r="AF16" s="8">
        <v>1.3169999999999999</v>
      </c>
      <c r="AG16" s="8">
        <v>1.0980000000000001</v>
      </c>
      <c r="AH16" s="8">
        <v>0</v>
      </c>
      <c r="AI16" s="8">
        <v>3.9</v>
      </c>
      <c r="AK16" s="22" t="s">
        <v>18</v>
      </c>
      <c r="AL16" s="8">
        <v>2.6869999999999998</v>
      </c>
      <c r="AM16" s="8">
        <v>1.2330000000000001</v>
      </c>
      <c r="AN16" s="8">
        <v>0.7</v>
      </c>
      <c r="AO16" s="8">
        <v>5.5</v>
      </c>
      <c r="AQ16" s="22" t="s">
        <v>18</v>
      </c>
      <c r="AR16" s="11">
        <v>3.59</v>
      </c>
      <c r="AS16" s="11">
        <v>1.8620000000000001</v>
      </c>
      <c r="AT16" s="11">
        <v>0.8</v>
      </c>
      <c r="AU16" s="11">
        <v>8</v>
      </c>
    </row>
    <row r="17" spans="1:47" x14ac:dyDescent="0.25">
      <c r="A17" s="20" t="s">
        <v>41</v>
      </c>
      <c r="B17" s="8">
        <v>14.820045172836405</v>
      </c>
      <c r="C17" s="8">
        <v>0.83265866458832083</v>
      </c>
      <c r="D17" s="8">
        <v>13.188034190243297</v>
      </c>
      <c r="E17" s="8">
        <v>16.452056155429513</v>
      </c>
      <c r="G17" s="20" t="s">
        <v>41</v>
      </c>
      <c r="H17" s="8">
        <v>0.48699999999999999</v>
      </c>
      <c r="I17" s="8">
        <v>0.63700000000000001</v>
      </c>
      <c r="J17" s="8">
        <v>0</v>
      </c>
      <c r="K17" s="8">
        <v>2.2000000000000002</v>
      </c>
      <c r="M17" s="20" t="s">
        <v>41</v>
      </c>
      <c r="N17" s="8">
        <v>0.183</v>
      </c>
      <c r="O17" s="8">
        <v>0.33800000000000002</v>
      </c>
      <c r="P17" s="8">
        <v>0</v>
      </c>
      <c r="Q17" s="8">
        <v>1.2</v>
      </c>
      <c r="S17" s="20" t="s">
        <v>41</v>
      </c>
      <c r="T17" s="8">
        <v>1.1000000000000001</v>
      </c>
      <c r="U17" s="8">
        <v>1.4</v>
      </c>
      <c r="V17" s="8">
        <v>0</v>
      </c>
      <c r="W17" s="8">
        <v>5</v>
      </c>
      <c r="Y17" s="20" t="s">
        <v>41</v>
      </c>
      <c r="Z17" s="8">
        <v>33.344000000000001</v>
      </c>
      <c r="AA17" s="8">
        <v>5.0720000000000001</v>
      </c>
      <c r="AB17" s="8">
        <v>23.3</v>
      </c>
      <c r="AC17" s="8">
        <v>43.2</v>
      </c>
      <c r="AE17" s="20" t="s">
        <v>41</v>
      </c>
      <c r="AF17" s="8">
        <v>59.91</v>
      </c>
      <c r="AG17" s="8">
        <v>6.1239999999999997</v>
      </c>
      <c r="AH17" s="8">
        <v>48</v>
      </c>
      <c r="AI17" s="8">
        <v>71.402000000000001</v>
      </c>
      <c r="AK17" s="20" t="s">
        <v>41</v>
      </c>
      <c r="AL17" s="8">
        <v>79.938999999999993</v>
      </c>
      <c r="AM17" s="8">
        <v>3.7480000000000002</v>
      </c>
      <c r="AN17" s="8">
        <v>72.099999999999994</v>
      </c>
      <c r="AO17" s="8">
        <v>86.8</v>
      </c>
      <c r="AQ17" s="20" t="s">
        <v>41</v>
      </c>
      <c r="AR17" s="11">
        <v>76.16</v>
      </c>
      <c r="AS17" s="11">
        <v>5.2350000000000003</v>
      </c>
      <c r="AT17" s="11">
        <v>66.099999999999994</v>
      </c>
      <c r="AU17" s="11">
        <v>86.701999999999998</v>
      </c>
    </row>
    <row r="18" spans="1:47" x14ac:dyDescent="0.25">
      <c r="A18" s="20" t="s">
        <v>106</v>
      </c>
      <c r="B18" s="8">
        <v>3.4154394018798939</v>
      </c>
      <c r="C18" s="8">
        <v>0.53119650120442685</v>
      </c>
      <c r="D18" s="8">
        <v>2.3742942595192176</v>
      </c>
      <c r="E18" s="8">
        <v>4.4565845442405703</v>
      </c>
      <c r="G18" s="20" t="s">
        <v>106</v>
      </c>
      <c r="H18" s="8">
        <v>0.1</v>
      </c>
      <c r="I18" s="8">
        <v>0.19500000000000001</v>
      </c>
      <c r="J18" s="8">
        <v>0</v>
      </c>
      <c r="K18" s="8">
        <v>0.7</v>
      </c>
      <c r="M18" s="20" t="s">
        <v>106</v>
      </c>
      <c r="N18" s="8">
        <v>0.115</v>
      </c>
      <c r="O18" s="8">
        <v>0.22700000000000001</v>
      </c>
      <c r="P18" s="8">
        <v>0</v>
      </c>
      <c r="Q18" s="8">
        <v>0.8</v>
      </c>
      <c r="S18" s="20" t="s">
        <v>106</v>
      </c>
      <c r="T18" s="8">
        <v>0.9</v>
      </c>
      <c r="U18" s="8">
        <v>0.9</v>
      </c>
      <c r="V18" s="8">
        <v>0</v>
      </c>
      <c r="W18" s="8">
        <v>3.3</v>
      </c>
      <c r="Y18" s="20" t="s">
        <v>106</v>
      </c>
      <c r="Z18" s="8">
        <v>7.2779999999999996</v>
      </c>
      <c r="AA18" s="8">
        <v>2.9630000000000001</v>
      </c>
      <c r="AB18" s="8">
        <v>3.1</v>
      </c>
      <c r="AC18" s="8">
        <v>14.401999999999999</v>
      </c>
      <c r="AE18" s="20" t="s">
        <v>106</v>
      </c>
      <c r="AF18" s="8">
        <v>22.716999999999999</v>
      </c>
      <c r="AG18" s="8">
        <v>4.5949999999999998</v>
      </c>
      <c r="AH18" s="8">
        <v>14.3</v>
      </c>
      <c r="AI18" s="8">
        <v>32.4</v>
      </c>
      <c r="AK18" s="20" t="s">
        <v>106</v>
      </c>
      <c r="AL18" s="8">
        <v>14.272</v>
      </c>
      <c r="AM18" s="8">
        <v>3.3250000000000002</v>
      </c>
      <c r="AN18" s="8">
        <v>8.1</v>
      </c>
      <c r="AO18" s="8">
        <v>21.2</v>
      </c>
      <c r="AQ18" s="20" t="s">
        <v>106</v>
      </c>
      <c r="AR18" s="11">
        <v>8.2940000000000005</v>
      </c>
      <c r="AS18" s="11">
        <v>3.6629999999999998</v>
      </c>
      <c r="AT18" s="11">
        <v>2.9</v>
      </c>
      <c r="AU18" s="11">
        <v>17.5</v>
      </c>
    </row>
    <row r="19" spans="1:47" x14ac:dyDescent="0.25">
      <c r="A19" s="20" t="s">
        <v>22</v>
      </c>
      <c r="B19" s="8">
        <v>11.09641694981309</v>
      </c>
      <c r="C19" s="8">
        <v>0.68112015576030449</v>
      </c>
      <c r="D19" s="8">
        <v>9.7614214445228935</v>
      </c>
      <c r="E19" s="8">
        <v>12.431412455103287</v>
      </c>
      <c r="G19" s="20" t="s">
        <v>22</v>
      </c>
      <c r="H19" s="8">
        <v>0.48899999999999999</v>
      </c>
      <c r="I19" s="8">
        <v>0.54700000000000004</v>
      </c>
      <c r="J19" s="8">
        <v>0</v>
      </c>
      <c r="K19" s="8">
        <v>1.9</v>
      </c>
      <c r="M19" s="20" t="s">
        <v>22</v>
      </c>
      <c r="N19" s="8">
        <v>0.192</v>
      </c>
      <c r="O19" s="8">
        <v>0.33500000000000002</v>
      </c>
      <c r="P19" s="8">
        <v>0</v>
      </c>
      <c r="Q19" s="8">
        <v>1.2</v>
      </c>
      <c r="S19" s="20" t="s">
        <v>22</v>
      </c>
      <c r="T19" s="8">
        <v>2</v>
      </c>
      <c r="U19" s="8">
        <v>1.5</v>
      </c>
      <c r="V19" s="8">
        <v>0</v>
      </c>
      <c r="W19" s="8">
        <v>5.5</v>
      </c>
      <c r="Y19" s="20" t="s">
        <v>22</v>
      </c>
      <c r="Z19" s="8">
        <v>39.700000000000003</v>
      </c>
      <c r="AA19" s="8">
        <v>3.871</v>
      </c>
      <c r="AB19" s="8">
        <v>32.299999999999997</v>
      </c>
      <c r="AC19" s="8">
        <v>47.4</v>
      </c>
      <c r="AE19" s="20" t="s">
        <v>22</v>
      </c>
      <c r="AF19" s="8">
        <v>53.216000000000001</v>
      </c>
      <c r="AG19" s="8">
        <v>4.3810000000000002</v>
      </c>
      <c r="AH19" s="8">
        <v>44.6</v>
      </c>
      <c r="AI19" s="8">
        <v>61.601999999999997</v>
      </c>
      <c r="AK19" s="20" t="s">
        <v>22</v>
      </c>
      <c r="AL19" s="8">
        <v>34.314</v>
      </c>
      <c r="AM19" s="8">
        <v>3.7029999999999998</v>
      </c>
      <c r="AN19" s="8">
        <v>27.3</v>
      </c>
      <c r="AO19" s="8">
        <v>41.701999999999998</v>
      </c>
      <c r="AQ19" s="20" t="s">
        <v>22</v>
      </c>
      <c r="AR19" s="11">
        <v>23.887</v>
      </c>
      <c r="AS19" s="11">
        <v>4.4749999999999996</v>
      </c>
      <c r="AT19" s="11">
        <v>15.5</v>
      </c>
      <c r="AU19" s="11">
        <v>33.1</v>
      </c>
    </row>
    <row r="20" spans="1:47" x14ac:dyDescent="0.25">
      <c r="A20" s="20" t="s">
        <v>42</v>
      </c>
      <c r="B20" s="8">
        <v>95.306556698852887</v>
      </c>
      <c r="C20" s="8">
        <v>0.63551750904942117</v>
      </c>
      <c r="D20" s="8">
        <v>94.060942381116021</v>
      </c>
      <c r="E20" s="8">
        <v>96.552171016589753</v>
      </c>
      <c r="G20" s="20" t="s">
        <v>42</v>
      </c>
      <c r="H20" s="8">
        <v>99.778999999999996</v>
      </c>
      <c r="I20" s="8">
        <v>0.36199999999999999</v>
      </c>
      <c r="J20" s="8">
        <v>98.7</v>
      </c>
      <c r="K20" s="8">
        <v>100</v>
      </c>
      <c r="M20" s="20" t="s">
        <v>42</v>
      </c>
      <c r="N20" s="8">
        <v>99.876000000000005</v>
      </c>
      <c r="O20" s="8">
        <v>0.23200000000000001</v>
      </c>
      <c r="P20" s="8">
        <v>99.2</v>
      </c>
      <c r="Q20" s="8">
        <v>100</v>
      </c>
      <c r="S20" s="20" t="s">
        <v>42</v>
      </c>
      <c r="T20" s="8">
        <v>98.9</v>
      </c>
      <c r="U20" s="8">
        <v>1</v>
      </c>
      <c r="V20" s="8">
        <v>96.3</v>
      </c>
      <c r="W20" s="8">
        <v>100</v>
      </c>
      <c r="Y20" s="20" t="s">
        <v>42</v>
      </c>
      <c r="Z20" s="8">
        <v>88.697000000000003</v>
      </c>
      <c r="AA20" s="8">
        <v>3.6259999999999999</v>
      </c>
      <c r="AB20" s="8">
        <v>81.099999999999994</v>
      </c>
      <c r="AC20" s="8">
        <v>95.1</v>
      </c>
      <c r="AE20" s="20" t="s">
        <v>42</v>
      </c>
      <c r="AF20" s="8">
        <v>72.412000000000006</v>
      </c>
      <c r="AG20" s="8">
        <v>5.5170000000000003</v>
      </c>
      <c r="AH20" s="8">
        <v>61.4</v>
      </c>
      <c r="AI20" s="8">
        <v>82.5</v>
      </c>
      <c r="AK20" s="20" t="s">
        <v>42</v>
      </c>
      <c r="AL20" s="8">
        <v>85.655000000000001</v>
      </c>
      <c r="AM20" s="8">
        <v>3.323</v>
      </c>
      <c r="AN20" s="8">
        <v>78.8</v>
      </c>
      <c r="AO20" s="8">
        <v>91.8</v>
      </c>
      <c r="AQ20" s="20" t="s">
        <v>42</v>
      </c>
      <c r="AR20" s="11">
        <v>78.501000000000005</v>
      </c>
      <c r="AS20" s="11">
        <v>5.0369999999999999</v>
      </c>
      <c r="AT20" s="11">
        <v>68.7</v>
      </c>
      <c r="AU20" s="11">
        <v>88.9</v>
      </c>
    </row>
    <row r="21" spans="1:47" x14ac:dyDescent="0.25">
      <c r="A21" s="20" t="s">
        <v>21</v>
      </c>
      <c r="B21" s="8">
        <v>4.6934433011471155</v>
      </c>
      <c r="C21" s="8">
        <v>0.63573809132126302</v>
      </c>
      <c r="D21" s="8">
        <v>3.44739664215744</v>
      </c>
      <c r="E21" s="8">
        <v>5.9394899601367914</v>
      </c>
      <c r="G21" s="20" t="s">
        <v>21</v>
      </c>
      <c r="H21" s="8">
        <v>0.221</v>
      </c>
      <c r="I21" s="8">
        <v>0.36499999999999999</v>
      </c>
      <c r="J21" s="8">
        <v>0</v>
      </c>
      <c r="K21" s="8">
        <v>1.3</v>
      </c>
      <c r="M21" s="20" t="s">
        <v>21</v>
      </c>
      <c r="N21" s="8">
        <v>0.124</v>
      </c>
      <c r="O21" s="8">
        <v>0.23499999999999999</v>
      </c>
      <c r="P21" s="8">
        <v>0</v>
      </c>
      <c r="Q21" s="8">
        <v>0.8</v>
      </c>
      <c r="S21" s="20" t="s">
        <v>21</v>
      </c>
      <c r="T21" s="8">
        <v>1.1000000000000001</v>
      </c>
      <c r="U21" s="8">
        <v>1</v>
      </c>
      <c r="V21" s="8">
        <v>0</v>
      </c>
      <c r="W21" s="8">
        <v>3.7</v>
      </c>
      <c r="Y21" s="20" t="s">
        <v>21</v>
      </c>
      <c r="Z21" s="8">
        <v>11.303000000000001</v>
      </c>
      <c r="AA21" s="8">
        <v>3.6259999999999999</v>
      </c>
      <c r="AB21" s="8">
        <v>4.8</v>
      </c>
      <c r="AC21" s="8">
        <v>18.899999999999999</v>
      </c>
      <c r="AE21" s="20" t="s">
        <v>21</v>
      </c>
      <c r="AF21" s="8">
        <v>27.588000000000001</v>
      </c>
      <c r="AG21" s="8">
        <v>5.5170000000000003</v>
      </c>
      <c r="AH21" s="8">
        <v>17.399999999999999</v>
      </c>
      <c r="AI21" s="8">
        <v>38.502000000000002</v>
      </c>
      <c r="AK21" s="20" t="s">
        <v>21</v>
      </c>
      <c r="AL21" s="8">
        <v>14.345000000000001</v>
      </c>
      <c r="AM21" s="8">
        <v>3.323</v>
      </c>
      <c r="AN21" s="8">
        <v>8.1999999999999993</v>
      </c>
      <c r="AO21" s="8">
        <v>21.2</v>
      </c>
      <c r="AQ21" s="20" t="s">
        <v>21</v>
      </c>
      <c r="AR21" s="11">
        <v>21.498999999999999</v>
      </c>
      <c r="AS21" s="11">
        <v>5.0380000000000003</v>
      </c>
      <c r="AT21" s="11">
        <v>11.1</v>
      </c>
      <c r="AU21" s="11">
        <v>31.3</v>
      </c>
    </row>
    <row r="25" spans="1:47" x14ac:dyDescent="0.25">
      <c r="A25" s="5" t="s">
        <v>262</v>
      </c>
      <c r="G25" s="16" t="s">
        <v>195</v>
      </c>
    </row>
    <row r="26" spans="1:47" x14ac:dyDescent="0.25">
      <c r="A26" t="s">
        <v>64</v>
      </c>
      <c r="B26" s="7" t="s">
        <v>65</v>
      </c>
      <c r="C26" s="7" t="s">
        <v>34</v>
      </c>
      <c r="D26" s="14" t="s">
        <v>111</v>
      </c>
      <c r="E26" s="14"/>
      <c r="G26" s="16" t="s">
        <v>196</v>
      </c>
    </row>
    <row r="27" spans="1:47" x14ac:dyDescent="0.25">
      <c r="A27" s="20" t="s">
        <v>9</v>
      </c>
      <c r="B27" s="8">
        <v>99.087860236068579</v>
      </c>
      <c r="C27" s="8">
        <v>0.47979747708116799</v>
      </c>
      <c r="D27" s="8">
        <v>98.147457180989491</v>
      </c>
      <c r="E27" s="8">
        <v>100</v>
      </c>
      <c r="G27" s="17" t="s">
        <v>197</v>
      </c>
    </row>
    <row r="28" spans="1:47" x14ac:dyDescent="0.25">
      <c r="A28" s="21" t="s">
        <v>10</v>
      </c>
      <c r="B28" s="8">
        <v>85.642974172195665</v>
      </c>
      <c r="C28" s="8">
        <v>3.1697096325466392</v>
      </c>
      <c r="D28" s="8">
        <v>79.430343292404245</v>
      </c>
      <c r="E28" s="8">
        <v>91.855605051987084</v>
      </c>
      <c r="G28" s="18" t="s">
        <v>198</v>
      </c>
    </row>
    <row r="29" spans="1:47" x14ac:dyDescent="0.25">
      <c r="A29" s="21" t="s">
        <v>101</v>
      </c>
      <c r="B29" s="8">
        <v>13.380637790613658</v>
      </c>
      <c r="C29" s="8">
        <v>3.1980787946183846</v>
      </c>
      <c r="D29" s="8">
        <v>7.1124033531616249</v>
      </c>
      <c r="E29" s="8">
        <v>19.648872228065692</v>
      </c>
      <c r="G29" s="18" t="s">
        <v>199</v>
      </c>
    </row>
    <row r="30" spans="1:47" x14ac:dyDescent="0.25">
      <c r="A30" s="22" t="s">
        <v>126</v>
      </c>
      <c r="B30" s="8">
        <v>9.5531448498019671</v>
      </c>
      <c r="C30" s="8">
        <v>3.4817121876129371</v>
      </c>
      <c r="D30" s="8">
        <v>2.7289889620806109</v>
      </c>
      <c r="E30" s="8">
        <v>16.377300737523324</v>
      </c>
      <c r="G30" s="18" t="s">
        <v>214</v>
      </c>
    </row>
    <row r="31" spans="1:47" x14ac:dyDescent="0.25">
      <c r="A31" s="22" t="s">
        <v>103</v>
      </c>
      <c r="B31" s="8">
        <v>3.8214015803378141</v>
      </c>
      <c r="C31" s="8">
        <v>1.2700874194638796</v>
      </c>
      <c r="D31" s="8">
        <v>1.3320302381886102</v>
      </c>
      <c r="E31" s="8">
        <v>6.3107729224870184</v>
      </c>
      <c r="G31" s="16" t="s">
        <v>201</v>
      </c>
    </row>
    <row r="32" spans="1:47" x14ac:dyDescent="0.25">
      <c r="A32" s="20" t="s">
        <v>11</v>
      </c>
      <c r="B32" s="8">
        <v>0.91213976393142704</v>
      </c>
      <c r="C32" s="8">
        <v>0.47999806368847608</v>
      </c>
      <c r="D32" s="8">
        <v>0</v>
      </c>
      <c r="E32" s="8">
        <v>1.85293596876084</v>
      </c>
      <c r="G32" s="16" t="s">
        <v>202</v>
      </c>
    </row>
    <row r="33" spans="1:7" x14ac:dyDescent="0.25">
      <c r="A33" s="21" t="s">
        <v>103</v>
      </c>
      <c r="B33" s="8">
        <v>0.19810919258823811</v>
      </c>
      <c r="C33" s="8">
        <v>0.22133452306460444</v>
      </c>
      <c r="D33" s="8">
        <v>0</v>
      </c>
      <c r="E33" s="8">
        <v>0.63192485779486285</v>
      </c>
      <c r="G33" s="16" t="s">
        <v>203</v>
      </c>
    </row>
    <row r="34" spans="1:7" x14ac:dyDescent="0.25">
      <c r="A34" s="21" t="s">
        <v>38</v>
      </c>
      <c r="B34" s="8">
        <v>0.3632286060225125</v>
      </c>
      <c r="C34" s="8">
        <v>0.37695824698320768</v>
      </c>
      <c r="D34" s="8">
        <v>0</v>
      </c>
      <c r="E34" s="8">
        <v>1.1020667701095994</v>
      </c>
      <c r="G34" s="16" t="s">
        <v>204</v>
      </c>
    </row>
    <row r="35" spans="1:7" x14ac:dyDescent="0.25">
      <c r="A35" s="21" t="s">
        <v>104</v>
      </c>
      <c r="B35" s="8">
        <v>0.32902508982699619</v>
      </c>
      <c r="C35" s="8">
        <v>0.29062056296323885</v>
      </c>
      <c r="D35" s="8">
        <v>0</v>
      </c>
      <c r="E35" s="8">
        <v>0.8986413932349443</v>
      </c>
      <c r="G35" s="16" t="s">
        <v>205</v>
      </c>
    </row>
    <row r="36" spans="1:7" x14ac:dyDescent="0.25">
      <c r="A36" s="22" t="s">
        <v>14</v>
      </c>
      <c r="B36" s="8">
        <v>0.10446455113158866</v>
      </c>
      <c r="C36" s="8">
        <v>0.1907396918404152</v>
      </c>
      <c r="D36" s="8">
        <v>0</v>
      </c>
      <c r="E36" s="8">
        <v>0.47831434713880244</v>
      </c>
      <c r="G36" s="16" t="s">
        <v>206</v>
      </c>
    </row>
    <row r="37" spans="1:7" x14ac:dyDescent="0.25">
      <c r="A37" s="22" t="s">
        <v>15</v>
      </c>
      <c r="B37" s="8">
        <v>0.22981524330103159</v>
      </c>
      <c r="C37" s="8">
        <v>0.24346151064016122</v>
      </c>
      <c r="D37" s="8">
        <v>0</v>
      </c>
      <c r="E37" s="8">
        <v>0.70699980415574759</v>
      </c>
      <c r="G37" s="16" t="s">
        <v>207</v>
      </c>
    </row>
    <row r="38" spans="1:7" x14ac:dyDescent="0.25">
      <c r="A38" s="21" t="s">
        <v>105</v>
      </c>
      <c r="B38" s="8">
        <v>8.4234452318385319E-2</v>
      </c>
      <c r="C38" s="8">
        <v>9.6559322331251515E-2</v>
      </c>
      <c r="D38" s="8">
        <v>0</v>
      </c>
      <c r="E38" s="8">
        <v>0.2734907240876383</v>
      </c>
      <c r="G38" s="16" t="s">
        <v>208</v>
      </c>
    </row>
    <row r="39" spans="1:7" x14ac:dyDescent="0.25">
      <c r="A39" s="22" t="s">
        <v>17</v>
      </c>
      <c r="B39" s="8">
        <v>2.2932978748777637E-2</v>
      </c>
      <c r="C39" s="8">
        <v>5.5149595757263185E-2</v>
      </c>
      <c r="D39" s="8">
        <v>0</v>
      </c>
      <c r="E39" s="8">
        <v>0.13102618643301348</v>
      </c>
      <c r="G39" s="16" t="s">
        <v>209</v>
      </c>
    </row>
    <row r="40" spans="1:7" x14ac:dyDescent="0.25">
      <c r="A40" s="22" t="s">
        <v>18</v>
      </c>
      <c r="B40" s="8">
        <v>3.9106270141801083E-2</v>
      </c>
      <c r="C40" s="8">
        <v>8.4606993478078346E-2</v>
      </c>
      <c r="D40" s="8">
        <v>0</v>
      </c>
      <c r="E40" s="8">
        <v>0.20493597735883462</v>
      </c>
      <c r="G40" s="16" t="s">
        <v>210</v>
      </c>
    </row>
    <row r="41" spans="1:7" x14ac:dyDescent="0.25">
      <c r="A41" s="20" t="s">
        <v>41</v>
      </c>
      <c r="B41" s="8">
        <v>0.52371964436787188</v>
      </c>
      <c r="C41" s="8">
        <v>0.43977567410361396</v>
      </c>
      <c r="D41" s="8">
        <v>0</v>
      </c>
      <c r="E41" s="8">
        <v>1.3856799656109553</v>
      </c>
      <c r="G41" s="16" t="s">
        <v>211</v>
      </c>
    </row>
    <row r="42" spans="1:7" x14ac:dyDescent="0.25">
      <c r="A42" s="20" t="s">
        <v>106</v>
      </c>
      <c r="B42" s="8">
        <v>0.30427662786439735</v>
      </c>
      <c r="C42" s="8">
        <v>0.25020510666649204</v>
      </c>
      <c r="D42" s="8">
        <v>0</v>
      </c>
      <c r="E42" s="8">
        <v>0.79467863693072172</v>
      </c>
      <c r="G42" s="16" t="s">
        <v>212</v>
      </c>
    </row>
    <row r="43" spans="1:7" x14ac:dyDescent="0.25">
      <c r="A43" s="20" t="s">
        <v>22</v>
      </c>
      <c r="B43" s="8">
        <v>0.75128441310456973</v>
      </c>
      <c r="C43" s="8">
        <v>0.44298037543323188</v>
      </c>
      <c r="D43" s="8">
        <v>0</v>
      </c>
      <c r="E43" s="8">
        <v>1.6195259489537042</v>
      </c>
      <c r="G43" s="19" t="s">
        <v>213</v>
      </c>
    </row>
    <row r="44" spans="1:7" x14ac:dyDescent="0.25">
      <c r="A44" s="20" t="s">
        <v>42</v>
      </c>
      <c r="B44" s="8">
        <v>99.597645045520295</v>
      </c>
      <c r="C44" s="8">
        <v>0.29582921151591729</v>
      </c>
      <c r="D44" s="8">
        <v>99.01781979094909</v>
      </c>
      <c r="E44" s="8">
        <v>100</v>
      </c>
    </row>
    <row r="45" spans="1:7" x14ac:dyDescent="0.25">
      <c r="A45" s="20" t="s">
        <v>21</v>
      </c>
      <c r="B45" s="8">
        <v>0.40235495447970493</v>
      </c>
      <c r="C45" s="8">
        <v>0.29667965616713105</v>
      </c>
      <c r="D45" s="8">
        <v>0</v>
      </c>
      <c r="E45" s="8">
        <v>0.98384708056728176</v>
      </c>
    </row>
    <row r="49" spans="1:5" x14ac:dyDescent="0.25">
      <c r="A49" s="5" t="s">
        <v>108</v>
      </c>
    </row>
    <row r="50" spans="1:5" x14ac:dyDescent="0.25">
      <c r="A50" t="s">
        <v>64</v>
      </c>
      <c r="B50" s="7" t="s">
        <v>65</v>
      </c>
      <c r="C50" s="7" t="s">
        <v>34</v>
      </c>
      <c r="D50" s="14" t="s">
        <v>111</v>
      </c>
      <c r="E50" s="14"/>
    </row>
    <row r="51" spans="1:5" x14ac:dyDescent="0.25">
      <c r="A51" s="20" t="s">
        <v>9</v>
      </c>
      <c r="B51" s="8">
        <v>29.967514331137341</v>
      </c>
      <c r="C51" s="8">
        <v>2.1011902089943972</v>
      </c>
      <c r="D51" s="8">
        <v>25.849181521508321</v>
      </c>
      <c r="E51" s="8">
        <v>34.085847140766361</v>
      </c>
    </row>
    <row r="52" spans="1:5" x14ac:dyDescent="0.25">
      <c r="A52" s="21" t="s">
        <v>10</v>
      </c>
      <c r="B52" s="8">
        <v>19.724486957483148</v>
      </c>
      <c r="C52" s="8">
        <v>1.8502579720294463</v>
      </c>
      <c r="D52" s="8">
        <v>16.097981332305434</v>
      </c>
      <c r="E52" s="8">
        <v>23.350992582660862</v>
      </c>
    </row>
    <row r="53" spans="1:5" x14ac:dyDescent="0.25">
      <c r="A53" s="21" t="s">
        <v>101</v>
      </c>
      <c r="B53" s="8">
        <v>10.242667318601884</v>
      </c>
      <c r="C53" s="8">
        <v>2.151622779173997</v>
      </c>
      <c r="D53" s="8">
        <v>6.0254866714208495</v>
      </c>
      <c r="E53" s="8">
        <v>14.459847965782917</v>
      </c>
    </row>
    <row r="54" spans="1:5" x14ac:dyDescent="0.25">
      <c r="A54" s="22" t="s">
        <v>126</v>
      </c>
      <c r="B54" s="8">
        <v>4.440949393052124</v>
      </c>
      <c r="C54" s="8">
        <v>2.4453157720015528</v>
      </c>
      <c r="D54" s="8">
        <v>0</v>
      </c>
      <c r="E54" s="8">
        <v>9.2337683061751683</v>
      </c>
    </row>
    <row r="55" spans="1:5" x14ac:dyDescent="0.25">
      <c r="A55" s="22" t="s">
        <v>103</v>
      </c>
      <c r="B55" s="8">
        <v>5.8056284998627508</v>
      </c>
      <c r="C55" s="8">
        <v>2.0038119713728708</v>
      </c>
      <c r="D55" s="8">
        <v>1.878157035971924</v>
      </c>
      <c r="E55" s="8">
        <v>9.7330999637535776</v>
      </c>
    </row>
    <row r="56" spans="1:5" x14ac:dyDescent="0.25">
      <c r="A56" s="20" t="s">
        <v>11</v>
      </c>
      <c r="B56" s="8">
        <v>70.032485668862662</v>
      </c>
      <c r="C56" s="8">
        <v>2.1016846895487329</v>
      </c>
      <c r="D56" s="8">
        <v>65.913183677347149</v>
      </c>
      <c r="E56" s="8">
        <v>74.151787660378176</v>
      </c>
    </row>
    <row r="57" spans="1:5" x14ac:dyDescent="0.25">
      <c r="A57" s="21" t="s">
        <v>103</v>
      </c>
      <c r="B57" s="8">
        <v>30.822973777716783</v>
      </c>
      <c r="C57" s="8">
        <v>1.8058440826631259</v>
      </c>
      <c r="D57" s="8">
        <v>27.283519375697058</v>
      </c>
      <c r="E57" s="8">
        <v>34.362428179736511</v>
      </c>
    </row>
    <row r="58" spans="1:5" x14ac:dyDescent="0.25">
      <c r="A58" s="21" t="s">
        <v>38</v>
      </c>
      <c r="B58" s="8">
        <v>22.854029325647357</v>
      </c>
      <c r="C58" s="8">
        <v>2.6924735043927646</v>
      </c>
      <c r="D58" s="8">
        <v>17.576781257037538</v>
      </c>
      <c r="E58" s="8">
        <v>28.131277394257175</v>
      </c>
    </row>
    <row r="59" spans="1:5" x14ac:dyDescent="0.25">
      <c r="A59" s="21" t="s">
        <v>104</v>
      </c>
      <c r="B59" s="8">
        <v>9.6424486915545788</v>
      </c>
      <c r="C59" s="8">
        <v>2.1003446784136588</v>
      </c>
      <c r="D59" s="8">
        <v>5.525773121863808</v>
      </c>
      <c r="E59" s="8">
        <v>13.759124261245351</v>
      </c>
    </row>
    <row r="60" spans="1:5" x14ac:dyDescent="0.25">
      <c r="A60" s="22" t="s">
        <v>14</v>
      </c>
      <c r="B60" s="8">
        <v>4.4826584774453284</v>
      </c>
      <c r="C60" s="8">
        <v>2.1491966391005297</v>
      </c>
      <c r="D60" s="8">
        <v>0.27023306480829046</v>
      </c>
      <c r="E60" s="8">
        <v>8.6950838900823655</v>
      </c>
    </row>
    <row r="61" spans="1:5" x14ac:dyDescent="0.25">
      <c r="A61" s="22" t="s">
        <v>15</v>
      </c>
      <c r="B61" s="8">
        <v>5.1658944398694597</v>
      </c>
      <c r="C61" s="8">
        <v>1.6415307995161303</v>
      </c>
      <c r="D61" s="8">
        <v>1.9484940728178444</v>
      </c>
      <c r="E61" s="8">
        <v>8.3832948069210751</v>
      </c>
    </row>
    <row r="62" spans="1:5" x14ac:dyDescent="0.25">
      <c r="A62" s="21" t="s">
        <v>105</v>
      </c>
      <c r="B62" s="8">
        <v>6.7029511734833918</v>
      </c>
      <c r="C62" s="8">
        <v>0.98498999401105003</v>
      </c>
      <c r="D62" s="8">
        <v>4.7723707852217334</v>
      </c>
      <c r="E62" s="8">
        <v>8.6335315617450501</v>
      </c>
    </row>
    <row r="63" spans="1:5" x14ac:dyDescent="0.25">
      <c r="A63" s="22" t="s">
        <v>17</v>
      </c>
      <c r="B63" s="8">
        <v>5.4195941874828444</v>
      </c>
      <c r="C63" s="8">
        <v>0.90021474297408288</v>
      </c>
      <c r="D63" s="8">
        <v>3.6551732912536421</v>
      </c>
      <c r="E63" s="8">
        <v>7.1840150837120467</v>
      </c>
    </row>
    <row r="64" spans="1:5" x14ac:dyDescent="0.25">
      <c r="A64" s="22" t="s">
        <v>18</v>
      </c>
      <c r="B64" s="8">
        <v>1.2838393570622502</v>
      </c>
      <c r="C64" s="8">
        <v>0.41288284901167516</v>
      </c>
      <c r="D64" s="8">
        <v>0.47458897299936686</v>
      </c>
      <c r="E64" s="8">
        <v>2.0930897411251337</v>
      </c>
    </row>
    <row r="65" spans="1:5" x14ac:dyDescent="0.25">
      <c r="A65" s="20" t="s">
        <v>41</v>
      </c>
      <c r="B65" s="8">
        <v>53.66865394821118</v>
      </c>
      <c r="C65" s="8">
        <v>2.8553174892188142</v>
      </c>
      <c r="D65" s="8">
        <v>48.072231669342301</v>
      </c>
      <c r="E65" s="8">
        <v>59.265076227080058</v>
      </c>
    </row>
    <row r="66" spans="1:5" x14ac:dyDescent="0.25">
      <c r="A66" s="20" t="s">
        <v>106</v>
      </c>
      <c r="B66" s="8">
        <v>11.869663894988866</v>
      </c>
      <c r="C66" s="8">
        <v>1.8539199777697495</v>
      </c>
      <c r="D66" s="8">
        <v>8.2359807385601567</v>
      </c>
      <c r="E66" s="8">
        <v>15.503347051417576</v>
      </c>
    </row>
    <row r="67" spans="1:5" x14ac:dyDescent="0.25">
      <c r="A67" s="20" t="s">
        <v>22</v>
      </c>
      <c r="B67" s="8">
        <v>39.208116410467568</v>
      </c>
      <c r="C67" s="8">
        <v>2.2275413775585706</v>
      </c>
      <c r="D67" s="8">
        <v>34.842135310452768</v>
      </c>
      <c r="E67" s="8">
        <v>43.574097510482368</v>
      </c>
    </row>
    <row r="68" spans="1:5" x14ac:dyDescent="0.25">
      <c r="A68" s="20" t="s">
        <v>42</v>
      </c>
      <c r="B68" s="8">
        <v>83.646021124988579</v>
      </c>
      <c r="C68" s="8">
        <v>2.2214870029658429</v>
      </c>
      <c r="D68" s="8">
        <v>79.291906599175533</v>
      </c>
      <c r="E68" s="8">
        <v>88.000135650801624</v>
      </c>
    </row>
    <row r="69" spans="1:5" x14ac:dyDescent="0.25">
      <c r="A69" s="20" t="s">
        <v>21</v>
      </c>
      <c r="B69" s="8">
        <v>16.353978875011439</v>
      </c>
      <c r="C69" s="8">
        <v>2.2215217097165914</v>
      </c>
      <c r="D69" s="8">
        <v>11.999796323966919</v>
      </c>
      <c r="E69" s="8">
        <v>20.708161426055959</v>
      </c>
    </row>
  </sheetData>
  <mergeCells count="10">
    <mergeCell ref="AB2:AC2"/>
    <mergeCell ref="AH2:AI2"/>
    <mergeCell ref="AN2:AO2"/>
    <mergeCell ref="AT2:AU2"/>
    <mergeCell ref="D2:E2"/>
    <mergeCell ref="D26:E26"/>
    <mergeCell ref="D50:E50"/>
    <mergeCell ref="J2:K2"/>
    <mergeCell ref="P2:Q2"/>
    <mergeCell ref="V2:W2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8839B-4659-4E74-B147-7EEF77AE3EE1}">
  <dimension ref="A1:AI69"/>
  <sheetViews>
    <sheetView workbookViewId="0"/>
  </sheetViews>
  <sheetFormatPr defaultRowHeight="15" x14ac:dyDescent="0.25"/>
  <cols>
    <col min="1" max="1" width="21.85546875" customWidth="1"/>
  </cols>
  <sheetData>
    <row r="1" spans="1:35" x14ac:dyDescent="0.25">
      <c r="A1" s="5" t="s">
        <v>274</v>
      </c>
      <c r="G1" s="12" t="s">
        <v>277</v>
      </c>
      <c r="I1" s="12" t="s">
        <v>278</v>
      </c>
      <c r="M1" s="12" t="s">
        <v>279</v>
      </c>
      <c r="O1" s="12" t="s">
        <v>271</v>
      </c>
      <c r="S1" s="12" t="s">
        <v>280</v>
      </c>
      <c r="U1" s="12" t="s">
        <v>281</v>
      </c>
      <c r="Y1" s="12" t="s">
        <v>282</v>
      </c>
      <c r="AA1" s="12" t="s">
        <v>283</v>
      </c>
      <c r="AE1" s="12" t="s">
        <v>284</v>
      </c>
      <c r="AG1" s="12" t="s">
        <v>266</v>
      </c>
    </row>
    <row r="2" spans="1:35" x14ac:dyDescent="0.25">
      <c r="A2" t="s">
        <v>64</v>
      </c>
      <c r="B2" s="7" t="s">
        <v>65</v>
      </c>
      <c r="C2" s="7" t="s">
        <v>34</v>
      </c>
      <c r="D2" s="14" t="s">
        <v>111</v>
      </c>
      <c r="E2" s="14"/>
      <c r="G2" t="s">
        <v>64</v>
      </c>
      <c r="H2" s="7" t="s">
        <v>65</v>
      </c>
      <c r="I2" s="7" t="s">
        <v>34</v>
      </c>
      <c r="J2" s="14" t="s">
        <v>111</v>
      </c>
      <c r="K2" s="14"/>
      <c r="M2" t="s">
        <v>64</v>
      </c>
      <c r="N2" s="7" t="s">
        <v>65</v>
      </c>
      <c r="O2" s="7" t="s">
        <v>34</v>
      </c>
      <c r="P2" s="14" t="s">
        <v>111</v>
      </c>
      <c r="Q2" s="14"/>
      <c r="S2" t="s">
        <v>64</v>
      </c>
      <c r="T2" s="7" t="s">
        <v>65</v>
      </c>
      <c r="U2" s="7" t="s">
        <v>34</v>
      </c>
      <c r="V2" s="14" t="s">
        <v>111</v>
      </c>
      <c r="W2" s="14"/>
      <c r="Y2" t="s">
        <v>64</v>
      </c>
      <c r="Z2" s="7" t="s">
        <v>65</v>
      </c>
      <c r="AA2" s="7" t="s">
        <v>34</v>
      </c>
      <c r="AB2" s="14" t="s">
        <v>111</v>
      </c>
      <c r="AC2" s="14"/>
      <c r="AE2" t="s">
        <v>64</v>
      </c>
      <c r="AF2" s="7" t="s">
        <v>65</v>
      </c>
      <c r="AG2" s="7" t="s">
        <v>34</v>
      </c>
      <c r="AH2" s="14" t="s">
        <v>111</v>
      </c>
      <c r="AI2" s="14"/>
    </row>
    <row r="3" spans="1:35" x14ac:dyDescent="0.25">
      <c r="A3" s="20" t="s">
        <v>9</v>
      </c>
      <c r="B3" s="8">
        <v>65.922371870296885</v>
      </c>
      <c r="C3" s="8">
        <v>1.1605661140838781</v>
      </c>
      <c r="D3" s="8">
        <v>63.647662286692487</v>
      </c>
      <c r="E3" s="8">
        <v>68.197081453901291</v>
      </c>
      <c r="G3" s="20" t="s">
        <v>9</v>
      </c>
      <c r="H3" s="8">
        <v>99.341999999999999</v>
      </c>
      <c r="I3" s="8">
        <v>0.94099999999999995</v>
      </c>
      <c r="J3" s="8">
        <v>96.6</v>
      </c>
      <c r="K3" s="8">
        <v>100</v>
      </c>
      <c r="M3" s="20" t="s">
        <v>9</v>
      </c>
      <c r="N3" s="8">
        <v>99.102999999999994</v>
      </c>
      <c r="O3" s="8">
        <v>1.032</v>
      </c>
      <c r="P3" s="8">
        <v>96.4</v>
      </c>
      <c r="Q3" s="8">
        <v>100</v>
      </c>
      <c r="S3" s="20" t="s">
        <v>9</v>
      </c>
      <c r="T3" s="8">
        <v>63.968000000000004</v>
      </c>
      <c r="U3" s="8">
        <v>4.7210000000000001</v>
      </c>
      <c r="V3" s="8">
        <v>54.3</v>
      </c>
      <c r="W3" s="8">
        <v>72.8</v>
      </c>
      <c r="Y3" s="20" t="s">
        <v>9</v>
      </c>
      <c r="Z3" s="8">
        <v>6.6180000000000003</v>
      </c>
      <c r="AA3" s="8">
        <v>2.2919999999999998</v>
      </c>
      <c r="AB3" s="8">
        <v>2.8</v>
      </c>
      <c r="AC3" s="8">
        <v>11.9</v>
      </c>
      <c r="AE3" s="20" t="s">
        <v>9</v>
      </c>
      <c r="AF3" s="8">
        <v>2.7469999999999999</v>
      </c>
      <c r="AG3" s="8">
        <v>1.879</v>
      </c>
      <c r="AH3" s="8">
        <v>0.2</v>
      </c>
      <c r="AI3" s="8">
        <v>7.1020000000000003</v>
      </c>
    </row>
    <row r="4" spans="1:35" x14ac:dyDescent="0.25">
      <c r="A4" s="21" t="s">
        <v>10</v>
      </c>
      <c r="B4" s="8">
        <v>49.359774958370735</v>
      </c>
      <c r="C4" s="8">
        <v>3.2518066705729574</v>
      </c>
      <c r="D4" s="8">
        <v>42.986233884047742</v>
      </c>
      <c r="E4" s="8">
        <v>55.733316032693729</v>
      </c>
      <c r="G4" s="21" t="s">
        <v>10</v>
      </c>
      <c r="H4" s="8">
        <v>85.664000000000001</v>
      </c>
      <c r="I4" s="8">
        <v>8.1869999999999994</v>
      </c>
      <c r="J4" s="8">
        <v>66.7</v>
      </c>
      <c r="K4" s="8">
        <v>97.8</v>
      </c>
      <c r="M4" s="21" t="s">
        <v>10</v>
      </c>
      <c r="N4" s="8">
        <v>75.135000000000005</v>
      </c>
      <c r="O4" s="8">
        <v>8.1349999999999998</v>
      </c>
      <c r="P4" s="8">
        <v>60.5</v>
      </c>
      <c r="Q4" s="8">
        <v>91.1</v>
      </c>
      <c r="S4" s="21" t="s">
        <v>10</v>
      </c>
      <c r="T4" s="8">
        <v>37.268999999999998</v>
      </c>
      <c r="U4" s="8">
        <v>5.3449999999999998</v>
      </c>
      <c r="V4" s="8">
        <v>27.6</v>
      </c>
      <c r="W4" s="8">
        <v>48.201999999999998</v>
      </c>
      <c r="Y4" s="21" t="s">
        <v>10</v>
      </c>
      <c r="Z4" s="8">
        <v>4.9580000000000002</v>
      </c>
      <c r="AA4" s="8">
        <v>1.8859999999999999</v>
      </c>
      <c r="AB4" s="8">
        <v>1.8</v>
      </c>
      <c r="AC4" s="8">
        <v>9.1</v>
      </c>
      <c r="AE4" s="21" t="s">
        <v>10</v>
      </c>
      <c r="AF4" s="8">
        <v>0.55500000000000005</v>
      </c>
      <c r="AG4" s="8">
        <v>0.59599999999999997</v>
      </c>
      <c r="AH4" s="8">
        <v>0</v>
      </c>
      <c r="AI4" s="8">
        <v>2.2000000000000002</v>
      </c>
    </row>
    <row r="5" spans="1:35" x14ac:dyDescent="0.25">
      <c r="A5" s="21" t="s">
        <v>101</v>
      </c>
      <c r="B5" s="8">
        <v>16.538217386516457</v>
      </c>
      <c r="C5" s="8">
        <v>3.388852371800303</v>
      </c>
      <c r="D5" s="8">
        <v>9.8960667377878639</v>
      </c>
      <c r="E5" s="8">
        <v>23.180368035245053</v>
      </c>
      <c r="G5" s="21" t="s">
        <v>101</v>
      </c>
      <c r="H5" s="8">
        <v>13.62</v>
      </c>
      <c r="I5" s="8">
        <v>8.2149999999999999</v>
      </c>
      <c r="J5" s="8">
        <v>0.5</v>
      </c>
      <c r="K5" s="8">
        <v>32.799999999999997</v>
      </c>
      <c r="M5" s="21" t="s">
        <v>101</v>
      </c>
      <c r="N5" s="8">
        <v>23.927</v>
      </c>
      <c r="O5" s="8">
        <v>8.1479999999999997</v>
      </c>
      <c r="P5" s="8">
        <v>8</v>
      </c>
      <c r="Q5" s="8">
        <v>38.799999999999997</v>
      </c>
      <c r="S5" s="21" t="s">
        <v>101</v>
      </c>
      <c r="T5" s="8">
        <v>26.702000000000002</v>
      </c>
      <c r="U5" s="8">
        <v>6.7590000000000003</v>
      </c>
      <c r="V5" s="8">
        <v>12.8</v>
      </c>
      <c r="W5" s="8">
        <v>39.200000000000003</v>
      </c>
      <c r="Y5" s="21" t="s">
        <v>101</v>
      </c>
      <c r="Z5" s="8">
        <v>1.657</v>
      </c>
      <c r="AA5" s="8">
        <v>1.944</v>
      </c>
      <c r="AB5" s="8">
        <v>0</v>
      </c>
      <c r="AC5" s="8">
        <v>6.7</v>
      </c>
      <c r="AE5" s="21" t="s">
        <v>101</v>
      </c>
      <c r="AF5" s="8">
        <v>2.19</v>
      </c>
      <c r="AG5" s="8">
        <v>1.8109999999999999</v>
      </c>
      <c r="AH5" s="8">
        <v>0</v>
      </c>
      <c r="AI5" s="8">
        <v>6.5</v>
      </c>
    </row>
    <row r="6" spans="1:35" x14ac:dyDescent="0.25">
      <c r="A6" s="22" t="s">
        <v>126</v>
      </c>
      <c r="B6" s="8">
        <v>13.126054703689737</v>
      </c>
      <c r="C6" s="8">
        <v>3.6564980661647941</v>
      </c>
      <c r="D6" s="8">
        <v>5.959318494006741</v>
      </c>
      <c r="E6" s="8">
        <v>20.292790913372734</v>
      </c>
      <c r="G6" s="22" t="s">
        <v>126</v>
      </c>
      <c r="H6" s="8">
        <v>13.515000000000001</v>
      </c>
      <c r="I6" s="8">
        <v>8.2189999999999994</v>
      </c>
      <c r="J6" s="8">
        <v>0.4</v>
      </c>
      <c r="K6" s="8">
        <v>32.799999999999997</v>
      </c>
      <c r="M6" s="22" t="s">
        <v>126</v>
      </c>
      <c r="N6" s="8">
        <v>20.106999999999999</v>
      </c>
      <c r="O6" s="8">
        <v>8.6489999999999991</v>
      </c>
      <c r="P6" s="8">
        <v>2.8</v>
      </c>
      <c r="Q6" s="8">
        <v>36</v>
      </c>
      <c r="S6" s="22" t="s">
        <v>126</v>
      </c>
      <c r="T6" s="8">
        <v>17.829000000000001</v>
      </c>
      <c r="U6" s="8">
        <v>8.3040000000000003</v>
      </c>
      <c r="V6" s="8">
        <v>0.4</v>
      </c>
      <c r="W6" s="8">
        <v>33.5</v>
      </c>
      <c r="Y6" s="22" t="s">
        <v>126</v>
      </c>
      <c r="Z6" s="8">
        <v>1.288</v>
      </c>
      <c r="AA6" s="8">
        <v>1.847</v>
      </c>
      <c r="AB6" s="8">
        <v>0</v>
      </c>
      <c r="AC6" s="8">
        <v>6.4020000000000001</v>
      </c>
      <c r="AE6" s="22" t="s">
        <v>126</v>
      </c>
      <c r="AF6" s="8">
        <v>0.68600000000000005</v>
      </c>
      <c r="AG6" s="8">
        <v>1.1910000000000001</v>
      </c>
      <c r="AH6" s="8">
        <v>0</v>
      </c>
      <c r="AI6" s="8">
        <v>4.3</v>
      </c>
    </row>
    <row r="7" spans="1:35" x14ac:dyDescent="0.25">
      <c r="A7" s="22" t="s">
        <v>103</v>
      </c>
      <c r="B7" s="8">
        <v>3.4104228565517287</v>
      </c>
      <c r="C7" s="8">
        <v>1.6315766904874098</v>
      </c>
      <c r="D7" s="8">
        <v>0.21253254319640558</v>
      </c>
      <c r="E7" s="8">
        <v>6.6083131699070519</v>
      </c>
      <c r="G7" s="22" t="s">
        <v>103</v>
      </c>
      <c r="H7" s="8">
        <v>0.104</v>
      </c>
      <c r="I7" s="8">
        <v>0.40799999999999997</v>
      </c>
      <c r="J7" s="8">
        <v>0</v>
      </c>
      <c r="K7" s="8">
        <v>1.1000000000000001</v>
      </c>
      <c r="M7" s="22" t="s">
        <v>103</v>
      </c>
      <c r="N7" s="8">
        <v>3.8050000000000002</v>
      </c>
      <c r="O7" s="8">
        <v>3.702</v>
      </c>
      <c r="P7" s="8">
        <v>0</v>
      </c>
      <c r="Q7" s="8">
        <v>11.7</v>
      </c>
      <c r="S7" s="22" t="s">
        <v>103</v>
      </c>
      <c r="T7" s="8">
        <v>8.8759999999999994</v>
      </c>
      <c r="U7" s="8">
        <v>5.1319999999999997</v>
      </c>
      <c r="V7" s="8">
        <v>0</v>
      </c>
      <c r="W7" s="8">
        <v>19</v>
      </c>
      <c r="Y7" s="22" t="s">
        <v>103</v>
      </c>
      <c r="Z7" s="8">
        <v>0.38100000000000001</v>
      </c>
      <c r="AA7" s="8">
        <v>0.89300000000000002</v>
      </c>
      <c r="AB7" s="8">
        <v>0</v>
      </c>
      <c r="AC7" s="8">
        <v>3.3</v>
      </c>
      <c r="AE7" s="22" t="s">
        <v>103</v>
      </c>
      <c r="AF7" s="8">
        <v>1.5109999999999999</v>
      </c>
      <c r="AG7" s="8">
        <v>1.502</v>
      </c>
      <c r="AH7" s="8">
        <v>0</v>
      </c>
      <c r="AI7" s="8">
        <v>5.2</v>
      </c>
    </row>
    <row r="8" spans="1:35" x14ac:dyDescent="0.25">
      <c r="A8" s="20" t="s">
        <v>11</v>
      </c>
      <c r="B8" s="8">
        <v>34.077628129703115</v>
      </c>
      <c r="C8" s="8">
        <v>1.1603745336029345</v>
      </c>
      <c r="D8" s="8">
        <v>31.803294043841362</v>
      </c>
      <c r="E8" s="8">
        <v>36.351962215564868</v>
      </c>
      <c r="G8" s="20" t="s">
        <v>11</v>
      </c>
      <c r="H8" s="8">
        <v>0.65800000000000003</v>
      </c>
      <c r="I8" s="8">
        <v>0.94099999999999995</v>
      </c>
      <c r="J8" s="8">
        <v>0</v>
      </c>
      <c r="K8" s="8">
        <v>3.4</v>
      </c>
      <c r="M8" s="20" t="s">
        <v>11</v>
      </c>
      <c r="N8" s="8">
        <v>0.89700000000000002</v>
      </c>
      <c r="O8" s="8">
        <v>1.032</v>
      </c>
      <c r="P8" s="8">
        <v>0</v>
      </c>
      <c r="Q8" s="8">
        <v>3.6</v>
      </c>
      <c r="S8" s="20" t="s">
        <v>11</v>
      </c>
      <c r="T8" s="8">
        <v>36.031999999999996</v>
      </c>
      <c r="U8" s="8">
        <v>4.72</v>
      </c>
      <c r="V8" s="8">
        <v>27.2</v>
      </c>
      <c r="W8" s="8">
        <v>45.7</v>
      </c>
      <c r="Y8" s="20" t="s">
        <v>11</v>
      </c>
      <c r="Z8" s="8">
        <v>93.382000000000005</v>
      </c>
      <c r="AA8" s="8">
        <v>2.2919999999999998</v>
      </c>
      <c r="AB8" s="8">
        <v>88.1</v>
      </c>
      <c r="AC8" s="8">
        <v>97.1</v>
      </c>
      <c r="AE8" s="20" t="s">
        <v>11</v>
      </c>
      <c r="AF8" s="8">
        <v>97.253</v>
      </c>
      <c r="AG8" s="8">
        <v>1.879</v>
      </c>
      <c r="AH8" s="8">
        <v>92.8</v>
      </c>
      <c r="AI8" s="8">
        <v>99.8</v>
      </c>
    </row>
    <row r="9" spans="1:35" x14ac:dyDescent="0.25">
      <c r="A9" s="21" t="s">
        <v>103</v>
      </c>
      <c r="B9" s="8">
        <v>14.294019928654617</v>
      </c>
      <c r="C9" s="8">
        <v>1.0727388127832143</v>
      </c>
      <c r="D9" s="8">
        <v>12.191451855599517</v>
      </c>
      <c r="E9" s="8">
        <v>16.396588001709716</v>
      </c>
      <c r="G9" s="21" t="s">
        <v>103</v>
      </c>
      <c r="H9" s="8">
        <v>0.19500000000000001</v>
      </c>
      <c r="I9" s="8">
        <v>0.46100000000000002</v>
      </c>
      <c r="J9" s="8">
        <v>0</v>
      </c>
      <c r="K9" s="8">
        <v>1.5</v>
      </c>
      <c r="M9" s="21" t="s">
        <v>103</v>
      </c>
      <c r="N9" s="8">
        <v>0.17100000000000001</v>
      </c>
      <c r="O9" s="8">
        <v>0.38800000000000001</v>
      </c>
      <c r="P9" s="8">
        <v>0</v>
      </c>
      <c r="Q9" s="8">
        <v>1.3</v>
      </c>
      <c r="S9" s="21" t="s">
        <v>103</v>
      </c>
      <c r="T9" s="8">
        <v>5.2279999999999998</v>
      </c>
      <c r="U9" s="8">
        <v>3.3620000000000001</v>
      </c>
      <c r="V9" s="8">
        <v>0.4</v>
      </c>
      <c r="W9" s="8">
        <v>12.8</v>
      </c>
      <c r="Y9" s="21" t="s">
        <v>103</v>
      </c>
      <c r="Z9" s="8">
        <v>32.296999999999997</v>
      </c>
      <c r="AA9" s="8">
        <v>4.1980000000000004</v>
      </c>
      <c r="AB9" s="8">
        <v>24.4</v>
      </c>
      <c r="AC9" s="8">
        <v>40.700000000000003</v>
      </c>
      <c r="AE9" s="21" t="s">
        <v>103</v>
      </c>
      <c r="AF9" s="8">
        <v>62.08</v>
      </c>
      <c r="AG9" s="8">
        <v>3.88</v>
      </c>
      <c r="AH9" s="8">
        <v>54.4</v>
      </c>
      <c r="AI9" s="8">
        <v>69.599999999999994</v>
      </c>
    </row>
    <row r="10" spans="1:35" x14ac:dyDescent="0.25">
      <c r="A10" s="21" t="s">
        <v>38</v>
      </c>
      <c r="B10" s="8">
        <v>13.667245577620642</v>
      </c>
      <c r="C10" s="8">
        <v>1.4245175495933977</v>
      </c>
      <c r="D10" s="8">
        <v>10.875191180417582</v>
      </c>
      <c r="E10" s="8">
        <v>16.459299974823701</v>
      </c>
      <c r="G10" s="21" t="s">
        <v>38</v>
      </c>
      <c r="H10" s="8">
        <v>0.20399999999999999</v>
      </c>
      <c r="I10" s="8">
        <v>0.53800000000000003</v>
      </c>
      <c r="J10" s="8">
        <v>0</v>
      </c>
      <c r="K10" s="8">
        <v>1.802</v>
      </c>
      <c r="M10" s="21" t="s">
        <v>38</v>
      </c>
      <c r="N10" s="8">
        <v>0.219</v>
      </c>
      <c r="O10" s="8">
        <v>0.54600000000000004</v>
      </c>
      <c r="P10" s="8">
        <v>0</v>
      </c>
      <c r="Q10" s="8">
        <v>1.9</v>
      </c>
      <c r="S10" s="21" t="s">
        <v>38</v>
      </c>
      <c r="T10" s="8">
        <v>22.265999999999998</v>
      </c>
      <c r="U10" s="8">
        <v>4.7469999999999999</v>
      </c>
      <c r="V10" s="8">
        <v>13.098000000000001</v>
      </c>
      <c r="W10" s="8">
        <v>31.8</v>
      </c>
      <c r="Y10" s="21" t="s">
        <v>38</v>
      </c>
      <c r="Z10" s="8">
        <v>47.341999999999999</v>
      </c>
      <c r="AA10" s="8">
        <v>6.0780000000000003</v>
      </c>
      <c r="AB10" s="8">
        <v>35.299999999999997</v>
      </c>
      <c r="AC10" s="8">
        <v>59.2</v>
      </c>
      <c r="AE10" s="21" t="s">
        <v>38</v>
      </c>
      <c r="AF10" s="8">
        <v>19.143999999999998</v>
      </c>
      <c r="AG10" s="8">
        <v>4.0419999999999998</v>
      </c>
      <c r="AH10" s="8">
        <v>11.5</v>
      </c>
      <c r="AI10" s="8">
        <v>27.5</v>
      </c>
    </row>
    <row r="11" spans="1:35" x14ac:dyDescent="0.25">
      <c r="A11" s="21" t="s">
        <v>104</v>
      </c>
      <c r="B11" s="8">
        <v>4.0264461889618213</v>
      </c>
      <c r="C11" s="8">
        <v>1.2297916559995319</v>
      </c>
      <c r="D11" s="8">
        <v>1.6160545432027389</v>
      </c>
      <c r="E11" s="8">
        <v>6.4368378347209037</v>
      </c>
      <c r="G11" s="21" t="s">
        <v>104</v>
      </c>
      <c r="H11" s="8">
        <v>0.247</v>
      </c>
      <c r="I11" s="8">
        <v>0.57999999999999996</v>
      </c>
      <c r="J11" s="8">
        <v>0</v>
      </c>
      <c r="K11" s="8">
        <v>2</v>
      </c>
      <c r="M11" s="21" t="s">
        <v>104</v>
      </c>
      <c r="N11" s="8">
        <v>0.499</v>
      </c>
      <c r="O11" s="8">
        <v>0.80800000000000005</v>
      </c>
      <c r="P11" s="8">
        <v>0</v>
      </c>
      <c r="Q11" s="8">
        <v>2.9</v>
      </c>
      <c r="S11" s="21" t="s">
        <v>104</v>
      </c>
      <c r="T11" s="8">
        <v>5.569</v>
      </c>
      <c r="U11" s="8">
        <v>4.0960000000000001</v>
      </c>
      <c r="V11" s="8">
        <v>0</v>
      </c>
      <c r="W11" s="8">
        <v>14.102</v>
      </c>
      <c r="Y11" s="21" t="s">
        <v>104</v>
      </c>
      <c r="Z11" s="8">
        <v>8.4809999999999999</v>
      </c>
      <c r="AA11" s="8">
        <v>5.08</v>
      </c>
      <c r="AB11" s="8">
        <v>0</v>
      </c>
      <c r="AC11" s="8">
        <v>19.2</v>
      </c>
      <c r="AE11" s="21" t="s">
        <v>104</v>
      </c>
      <c r="AF11" s="8">
        <v>10.657</v>
      </c>
      <c r="AG11" s="8">
        <v>3.3559999999999999</v>
      </c>
      <c r="AH11" s="8">
        <v>4.7</v>
      </c>
      <c r="AI11" s="8">
        <v>17.7</v>
      </c>
    </row>
    <row r="12" spans="1:35" x14ac:dyDescent="0.25">
      <c r="A12" s="22" t="s">
        <v>14</v>
      </c>
      <c r="B12" s="8">
        <v>0.17869690558582971</v>
      </c>
      <c r="C12" s="8">
        <v>0.33238941255867743</v>
      </c>
      <c r="D12" s="8">
        <v>0</v>
      </c>
      <c r="E12" s="8">
        <v>0.83018015420083746</v>
      </c>
      <c r="G12" s="22" t="s">
        <v>14</v>
      </c>
      <c r="H12" s="8">
        <v>2.5999999999999999E-2</v>
      </c>
      <c r="I12" s="8">
        <v>0.122</v>
      </c>
      <c r="J12" s="8">
        <v>0</v>
      </c>
      <c r="K12" s="8">
        <v>0.2</v>
      </c>
      <c r="M12" s="22" t="s">
        <v>14</v>
      </c>
      <c r="N12" s="8">
        <v>7.1999999999999995E-2</v>
      </c>
      <c r="O12" s="8">
        <v>0.28699999999999998</v>
      </c>
      <c r="P12" s="8">
        <v>0</v>
      </c>
      <c r="Q12" s="8">
        <v>0.9</v>
      </c>
      <c r="S12" s="22" t="s">
        <v>14</v>
      </c>
      <c r="T12" s="8">
        <v>0.23499999999999999</v>
      </c>
      <c r="U12" s="8">
        <v>0.98799999999999999</v>
      </c>
      <c r="V12" s="8">
        <v>0</v>
      </c>
      <c r="W12" s="8">
        <v>3.3</v>
      </c>
      <c r="Y12" s="22" t="s">
        <v>14</v>
      </c>
      <c r="Z12" s="8">
        <v>0.52500000000000002</v>
      </c>
      <c r="AA12" s="8">
        <v>1.675</v>
      </c>
      <c r="AB12" s="8">
        <v>0</v>
      </c>
      <c r="AC12" s="8">
        <v>6.2</v>
      </c>
      <c r="AE12" s="22" t="s">
        <v>14</v>
      </c>
      <c r="AF12" s="8">
        <v>0.23400000000000001</v>
      </c>
      <c r="AG12" s="8">
        <v>0.73899999999999999</v>
      </c>
      <c r="AH12" s="8">
        <v>0</v>
      </c>
      <c r="AI12" s="8">
        <v>2.702</v>
      </c>
    </row>
    <row r="13" spans="1:35" x14ac:dyDescent="0.25">
      <c r="A13" s="22" t="s">
        <v>15</v>
      </c>
      <c r="B13" s="8">
        <v>3.8538211726938725</v>
      </c>
      <c r="C13" s="8">
        <v>1.2236950026960323</v>
      </c>
      <c r="D13" s="8">
        <v>1.4553789674096493</v>
      </c>
      <c r="E13" s="8">
        <v>6.2522633779780961</v>
      </c>
      <c r="G13" s="22" t="s">
        <v>15</v>
      </c>
      <c r="H13" s="8">
        <v>0.22700000000000001</v>
      </c>
      <c r="I13" s="8">
        <v>0.56699999999999995</v>
      </c>
      <c r="J13" s="8">
        <v>0</v>
      </c>
      <c r="K13" s="8">
        <v>2</v>
      </c>
      <c r="M13" s="22" t="s">
        <v>15</v>
      </c>
      <c r="N13" s="8">
        <v>0.433</v>
      </c>
      <c r="O13" s="8">
        <v>0.77300000000000002</v>
      </c>
      <c r="P13" s="8">
        <v>0</v>
      </c>
      <c r="Q13" s="8">
        <v>2.8</v>
      </c>
      <c r="S13" s="22" t="s">
        <v>15</v>
      </c>
      <c r="T13" s="8">
        <v>5.3410000000000002</v>
      </c>
      <c r="U13" s="8">
        <v>4.0350000000000001</v>
      </c>
      <c r="V13" s="8">
        <v>0</v>
      </c>
      <c r="W13" s="8">
        <v>13.7</v>
      </c>
      <c r="Y13" s="22" t="s">
        <v>15</v>
      </c>
      <c r="Z13" s="8">
        <v>7.9619999999999997</v>
      </c>
      <c r="AA13" s="8">
        <v>5.2240000000000002</v>
      </c>
      <c r="AB13" s="8">
        <v>0</v>
      </c>
      <c r="AC13" s="8">
        <v>18.702000000000002</v>
      </c>
      <c r="AE13" s="22" t="s">
        <v>15</v>
      </c>
      <c r="AF13" s="8">
        <v>10.428000000000001</v>
      </c>
      <c r="AG13" s="8">
        <v>3.2919999999999998</v>
      </c>
      <c r="AH13" s="8">
        <v>4.5</v>
      </c>
      <c r="AI13" s="8">
        <v>17.3</v>
      </c>
    </row>
    <row r="14" spans="1:35" x14ac:dyDescent="0.25">
      <c r="A14" s="21" t="s">
        <v>105</v>
      </c>
      <c r="B14" s="8">
        <v>2.106290457137709</v>
      </c>
      <c r="C14" s="8">
        <v>0.4729124524549147</v>
      </c>
      <c r="D14" s="8">
        <v>1.1793820503260761</v>
      </c>
      <c r="E14" s="8">
        <v>3.0331988639493419</v>
      </c>
      <c r="G14" s="21" t="s">
        <v>105</v>
      </c>
      <c r="H14" s="8">
        <v>6.0999999999999999E-2</v>
      </c>
      <c r="I14" s="8">
        <v>0.16700000000000001</v>
      </c>
      <c r="J14" s="8">
        <v>0</v>
      </c>
      <c r="K14" s="8">
        <v>0.5</v>
      </c>
      <c r="M14" s="21" t="s">
        <v>105</v>
      </c>
      <c r="N14" s="8">
        <v>5.3999999999999999E-2</v>
      </c>
      <c r="O14" s="8">
        <v>0.154</v>
      </c>
      <c r="P14" s="8">
        <v>0</v>
      </c>
      <c r="Q14" s="8">
        <v>0.4</v>
      </c>
      <c r="S14" s="21" t="s">
        <v>105</v>
      </c>
      <c r="T14" s="8">
        <v>2.956</v>
      </c>
      <c r="U14" s="8">
        <v>1.6180000000000001</v>
      </c>
      <c r="V14" s="8">
        <v>0.5</v>
      </c>
      <c r="W14" s="8">
        <v>6.8</v>
      </c>
      <c r="Y14" s="21" t="s">
        <v>105</v>
      </c>
      <c r="Z14" s="8">
        <v>5.2409999999999997</v>
      </c>
      <c r="AA14" s="8">
        <v>1.681</v>
      </c>
      <c r="AB14" s="8">
        <v>2.4</v>
      </c>
      <c r="AC14" s="8">
        <v>8.9</v>
      </c>
      <c r="AE14" s="21" t="s">
        <v>105</v>
      </c>
      <c r="AF14" s="8">
        <v>5.3559999999999999</v>
      </c>
      <c r="AG14" s="8">
        <v>1.5760000000000001</v>
      </c>
      <c r="AH14" s="8">
        <v>2.7</v>
      </c>
      <c r="AI14" s="8">
        <v>8.8000000000000007</v>
      </c>
    </row>
    <row r="15" spans="1:35" x14ac:dyDescent="0.25">
      <c r="A15" s="22" t="s">
        <v>17</v>
      </c>
      <c r="B15" s="8">
        <v>1.955688232683394</v>
      </c>
      <c r="C15" s="8">
        <v>0.41448405231712104</v>
      </c>
      <c r="D15" s="8">
        <v>1.1432994901418367</v>
      </c>
      <c r="E15" s="8">
        <v>2.7680769752249512</v>
      </c>
      <c r="G15" s="22" t="s">
        <v>17</v>
      </c>
      <c r="H15" s="8">
        <v>4.2999999999999997E-2</v>
      </c>
      <c r="I15" s="8">
        <v>0.14099999999999999</v>
      </c>
      <c r="J15" s="8">
        <v>0</v>
      </c>
      <c r="K15" s="8">
        <v>0.4</v>
      </c>
      <c r="M15" s="22" t="s">
        <v>17</v>
      </c>
      <c r="N15" s="8">
        <v>3.5999999999999997E-2</v>
      </c>
      <c r="O15" s="8">
        <v>0.114</v>
      </c>
      <c r="P15" s="8">
        <v>0</v>
      </c>
      <c r="Q15" s="8">
        <v>0.3</v>
      </c>
      <c r="S15" s="22" t="s">
        <v>17</v>
      </c>
      <c r="T15" s="8">
        <v>2.34</v>
      </c>
      <c r="U15" s="8">
        <v>1.25</v>
      </c>
      <c r="V15" s="8">
        <v>0.4</v>
      </c>
      <c r="W15" s="8">
        <v>5.2</v>
      </c>
      <c r="Y15" s="22" t="s">
        <v>17</v>
      </c>
      <c r="Z15" s="8">
        <v>5.2190000000000003</v>
      </c>
      <c r="AA15" s="8">
        <v>1.6739999999999999</v>
      </c>
      <c r="AB15" s="8">
        <v>2.4</v>
      </c>
      <c r="AC15" s="8">
        <v>8.9</v>
      </c>
      <c r="AE15" s="22" t="s">
        <v>17</v>
      </c>
      <c r="AF15" s="8">
        <v>5.3220000000000001</v>
      </c>
      <c r="AG15" s="8">
        <v>1.57</v>
      </c>
      <c r="AH15" s="8">
        <v>2.7</v>
      </c>
      <c r="AI15" s="8">
        <v>8.8000000000000007</v>
      </c>
    </row>
    <row r="16" spans="1:35" x14ac:dyDescent="0.25">
      <c r="A16" s="22" t="s">
        <v>18</v>
      </c>
      <c r="B16" s="8">
        <v>0.15407787926011698</v>
      </c>
      <c r="C16" s="8">
        <v>0.21230579172069983</v>
      </c>
      <c r="D16" s="8">
        <v>0</v>
      </c>
      <c r="E16" s="8">
        <v>0.5701972310326886</v>
      </c>
      <c r="G16" s="22" t="s">
        <v>18</v>
      </c>
      <c r="H16" s="8">
        <v>2.1000000000000001E-2</v>
      </c>
      <c r="I16" s="8">
        <v>9.6000000000000002E-2</v>
      </c>
      <c r="J16" s="8">
        <v>0</v>
      </c>
      <c r="K16" s="8">
        <v>0.2</v>
      </c>
      <c r="M16" s="22" t="s">
        <v>18</v>
      </c>
      <c r="N16" s="8">
        <v>2.1999999999999999E-2</v>
      </c>
      <c r="O16" s="8">
        <v>0.108</v>
      </c>
      <c r="P16" s="8">
        <v>0</v>
      </c>
      <c r="Q16" s="8">
        <v>0.2</v>
      </c>
      <c r="S16" s="22" t="s">
        <v>18</v>
      </c>
      <c r="T16" s="8">
        <v>0.61599999999999999</v>
      </c>
      <c r="U16" s="8">
        <v>0.95099999999999996</v>
      </c>
      <c r="V16" s="8">
        <v>0</v>
      </c>
      <c r="W16" s="8">
        <v>3.2</v>
      </c>
      <c r="Y16" s="22" t="s">
        <v>18</v>
      </c>
      <c r="Z16" s="8">
        <v>2.8000000000000001E-2</v>
      </c>
      <c r="AA16" s="8">
        <v>0.13200000000000001</v>
      </c>
      <c r="AB16" s="8">
        <v>0</v>
      </c>
      <c r="AC16" s="8">
        <v>0.2</v>
      </c>
      <c r="AE16" s="22" t="s">
        <v>18</v>
      </c>
      <c r="AF16" s="8">
        <v>0.04</v>
      </c>
      <c r="AG16" s="8">
        <v>0.18099999999999999</v>
      </c>
      <c r="AH16" s="8">
        <v>0</v>
      </c>
      <c r="AI16" s="8">
        <v>0.4</v>
      </c>
    </row>
    <row r="17" spans="1:35" x14ac:dyDescent="0.25">
      <c r="A17" s="20" t="s">
        <v>41</v>
      </c>
      <c r="B17" s="8">
        <v>27.952032038682685</v>
      </c>
      <c r="C17" s="8">
        <v>1.5083151207380361</v>
      </c>
      <c r="D17" s="8">
        <v>24.995734402036135</v>
      </c>
      <c r="E17" s="8">
        <v>30.908329675329234</v>
      </c>
      <c r="G17" s="20" t="s">
        <v>41</v>
      </c>
      <c r="H17" s="8">
        <v>0.38100000000000001</v>
      </c>
      <c r="I17" s="8">
        <v>0.72099999999999997</v>
      </c>
      <c r="J17" s="8">
        <v>0</v>
      </c>
      <c r="K17" s="8">
        <v>2.5</v>
      </c>
      <c r="M17" s="20" t="s">
        <v>41</v>
      </c>
      <c r="N17" s="8">
        <v>0.373</v>
      </c>
      <c r="O17" s="8">
        <v>0.66600000000000004</v>
      </c>
      <c r="P17" s="8">
        <v>0</v>
      </c>
      <c r="Q17" s="8">
        <v>2.4</v>
      </c>
      <c r="S17" s="20" t="s">
        <v>41</v>
      </c>
      <c r="T17" s="8">
        <v>27.492000000000001</v>
      </c>
      <c r="U17" s="8">
        <v>5.444</v>
      </c>
      <c r="V17" s="8">
        <v>17.3</v>
      </c>
      <c r="W17" s="8">
        <v>38.4</v>
      </c>
      <c r="Y17" s="20" t="s">
        <v>41</v>
      </c>
      <c r="Z17" s="8">
        <v>79.641000000000005</v>
      </c>
      <c r="AA17" s="8">
        <v>5.5110000000000001</v>
      </c>
      <c r="AB17" s="8">
        <v>68.3</v>
      </c>
      <c r="AC17" s="8">
        <v>89.7</v>
      </c>
      <c r="AE17" s="20" t="s">
        <v>41</v>
      </c>
      <c r="AF17" s="8">
        <v>81.222999999999999</v>
      </c>
      <c r="AG17" s="8">
        <v>3.992</v>
      </c>
      <c r="AH17" s="8">
        <v>73</v>
      </c>
      <c r="AI17" s="8">
        <v>88.7</v>
      </c>
    </row>
    <row r="18" spans="1:35" x14ac:dyDescent="0.25">
      <c r="A18" s="20" t="s">
        <v>106</v>
      </c>
      <c r="B18" s="8">
        <v>5.9555500735811853</v>
      </c>
      <c r="C18" s="8">
        <v>1.2288033150392035</v>
      </c>
      <c r="D18" s="8">
        <v>3.5470955761043466</v>
      </c>
      <c r="E18" s="8">
        <v>8.3640045710580235</v>
      </c>
      <c r="G18" s="20" t="s">
        <v>106</v>
      </c>
      <c r="H18" s="8">
        <v>0.27400000000000002</v>
      </c>
      <c r="I18" s="8">
        <v>0.59099999999999997</v>
      </c>
      <c r="J18" s="8">
        <v>0</v>
      </c>
      <c r="K18" s="8">
        <v>2.1</v>
      </c>
      <c r="M18" s="20" t="s">
        <v>106</v>
      </c>
      <c r="N18" s="8">
        <v>0.47399999999999998</v>
      </c>
      <c r="O18" s="8">
        <v>0.78800000000000003</v>
      </c>
      <c r="P18" s="8">
        <v>0</v>
      </c>
      <c r="Q18" s="8">
        <v>2.8</v>
      </c>
      <c r="S18" s="20" t="s">
        <v>106</v>
      </c>
      <c r="T18" s="8">
        <v>8.3000000000000007</v>
      </c>
      <c r="U18" s="8">
        <v>3.9119999999999999</v>
      </c>
      <c r="V18" s="8">
        <v>1.8</v>
      </c>
      <c r="W18" s="8">
        <v>16.402000000000001</v>
      </c>
      <c r="Y18" s="20" t="s">
        <v>106</v>
      </c>
      <c r="Z18" s="8">
        <v>13.208</v>
      </c>
      <c r="AA18" s="8">
        <v>5.375</v>
      </c>
      <c r="AB18" s="8">
        <v>3.9</v>
      </c>
      <c r="AC18" s="8">
        <v>24.3</v>
      </c>
      <c r="AE18" s="20" t="s">
        <v>106</v>
      </c>
      <c r="AF18" s="8">
        <v>15.791</v>
      </c>
      <c r="AG18" s="8">
        <v>3.5009999999999999</v>
      </c>
      <c r="AH18" s="8">
        <v>9.3000000000000007</v>
      </c>
      <c r="AI18" s="8">
        <v>23.1</v>
      </c>
    </row>
    <row r="19" spans="1:35" x14ac:dyDescent="0.25">
      <c r="A19" s="20" t="s">
        <v>22</v>
      </c>
      <c r="B19" s="8">
        <v>19.789405213752506</v>
      </c>
      <c r="C19" s="8">
        <v>1.2329428060472643</v>
      </c>
      <c r="D19" s="8">
        <v>17.372837313899868</v>
      </c>
      <c r="E19" s="8">
        <v>22.205973113605143</v>
      </c>
      <c r="G19" s="20" t="s">
        <v>22</v>
      </c>
      <c r="H19" s="8">
        <v>0.47899999999999998</v>
      </c>
      <c r="I19" s="8">
        <v>0.81100000000000005</v>
      </c>
      <c r="J19" s="8">
        <v>0</v>
      </c>
      <c r="K19" s="8">
        <v>2.8</v>
      </c>
      <c r="M19" s="20" t="s">
        <v>22</v>
      </c>
      <c r="N19" s="8">
        <v>0.74199999999999999</v>
      </c>
      <c r="O19" s="8">
        <v>0.96899999999999997</v>
      </c>
      <c r="P19" s="8">
        <v>0</v>
      </c>
      <c r="Q19" s="8">
        <v>3.3</v>
      </c>
      <c r="S19" s="20" t="s">
        <v>22</v>
      </c>
      <c r="T19" s="8">
        <v>30.797000000000001</v>
      </c>
      <c r="U19" s="8">
        <v>4.0620000000000003</v>
      </c>
      <c r="V19" s="8">
        <v>23.1</v>
      </c>
      <c r="W19" s="8">
        <v>38.9</v>
      </c>
      <c r="Y19" s="20" t="s">
        <v>22</v>
      </c>
      <c r="Z19" s="8">
        <v>61.078000000000003</v>
      </c>
      <c r="AA19" s="8">
        <v>4.3490000000000002</v>
      </c>
      <c r="AB19" s="8">
        <v>52.4</v>
      </c>
      <c r="AC19" s="8">
        <v>69.400000000000006</v>
      </c>
      <c r="AE19" s="20" t="s">
        <v>22</v>
      </c>
      <c r="AF19" s="8">
        <v>35.173000000000002</v>
      </c>
      <c r="AG19" s="8">
        <v>3.9340000000000002</v>
      </c>
      <c r="AH19" s="8">
        <v>27.6</v>
      </c>
      <c r="AI19" s="8">
        <v>43</v>
      </c>
    </row>
    <row r="20" spans="1:35" x14ac:dyDescent="0.25">
      <c r="A20" s="20" t="s">
        <v>42</v>
      </c>
      <c r="B20" s="8">
        <v>93.871940744621554</v>
      </c>
      <c r="C20" s="8">
        <v>1.2336362105792285</v>
      </c>
      <c r="D20" s="8">
        <v>91.454013771886267</v>
      </c>
      <c r="E20" s="8">
        <v>96.289867717356842</v>
      </c>
      <c r="G20" s="20" t="s">
        <v>42</v>
      </c>
      <c r="H20" s="8">
        <v>99.706999999999994</v>
      </c>
      <c r="I20" s="8">
        <v>0.60099999999999998</v>
      </c>
      <c r="J20" s="8">
        <v>97.8</v>
      </c>
      <c r="K20" s="8">
        <v>100</v>
      </c>
      <c r="M20" s="20" t="s">
        <v>42</v>
      </c>
      <c r="N20" s="8">
        <v>99.460999999999999</v>
      </c>
      <c r="O20" s="8">
        <v>0.82199999999999995</v>
      </c>
      <c r="P20" s="8">
        <v>97.1</v>
      </c>
      <c r="Q20" s="8">
        <v>100</v>
      </c>
      <c r="S20" s="20" t="s">
        <v>42</v>
      </c>
      <c r="T20" s="8">
        <v>91.471999999999994</v>
      </c>
      <c r="U20" s="8">
        <v>3.9710000000000001</v>
      </c>
      <c r="V20" s="8">
        <v>83.1</v>
      </c>
      <c r="W20" s="8">
        <v>98.1</v>
      </c>
      <c r="Y20" s="20" t="s">
        <v>42</v>
      </c>
      <c r="Z20" s="8">
        <v>86.271000000000001</v>
      </c>
      <c r="AA20" s="8">
        <v>5.234</v>
      </c>
      <c r="AB20" s="8">
        <v>75.400000000000006</v>
      </c>
      <c r="AC20" s="8">
        <v>95.7</v>
      </c>
      <c r="AE20" s="20" t="s">
        <v>42</v>
      </c>
      <c r="AF20" s="8">
        <v>83.978999999999999</v>
      </c>
      <c r="AG20" s="8">
        <v>3.5529999999999999</v>
      </c>
      <c r="AH20" s="8">
        <v>76.597999999999999</v>
      </c>
      <c r="AI20" s="8">
        <v>90.5</v>
      </c>
    </row>
    <row r="21" spans="1:35" x14ac:dyDescent="0.25">
      <c r="A21" s="20" t="s">
        <v>21</v>
      </c>
      <c r="B21" s="8">
        <v>6.1280592553784352</v>
      </c>
      <c r="C21" s="8">
        <v>1.2337208019049906</v>
      </c>
      <c r="D21" s="8">
        <v>3.7099664836446538</v>
      </c>
      <c r="E21" s="8">
        <v>8.5461520271122176</v>
      </c>
      <c r="G21" s="20" t="s">
        <v>21</v>
      </c>
      <c r="H21" s="8">
        <v>0.29299999999999998</v>
      </c>
      <c r="I21" s="8">
        <v>0.60299999999999998</v>
      </c>
      <c r="J21" s="8">
        <v>0</v>
      </c>
      <c r="K21" s="8">
        <v>2.2000000000000002</v>
      </c>
      <c r="M21" s="20" t="s">
        <v>21</v>
      </c>
      <c r="N21" s="8">
        <v>0.53900000000000003</v>
      </c>
      <c r="O21" s="8">
        <v>0.82499999999999996</v>
      </c>
      <c r="P21" s="8">
        <v>0</v>
      </c>
      <c r="Q21" s="8">
        <v>2.9</v>
      </c>
      <c r="S21" s="20" t="s">
        <v>21</v>
      </c>
      <c r="T21" s="8">
        <v>8.5280000000000005</v>
      </c>
      <c r="U21" s="8">
        <v>3.97</v>
      </c>
      <c r="V21" s="8">
        <v>1.8</v>
      </c>
      <c r="W21" s="8">
        <v>16.899999999999999</v>
      </c>
      <c r="Y21" s="20" t="s">
        <v>21</v>
      </c>
      <c r="Z21" s="8">
        <v>13.728999999999999</v>
      </c>
      <c r="AA21" s="8">
        <v>5.234</v>
      </c>
      <c r="AB21" s="8">
        <v>4.3</v>
      </c>
      <c r="AC21" s="8">
        <v>24.6</v>
      </c>
      <c r="AE21" s="20" t="s">
        <v>21</v>
      </c>
      <c r="AF21" s="8">
        <v>16.021000000000001</v>
      </c>
      <c r="AG21" s="8">
        <v>3.5529999999999999</v>
      </c>
      <c r="AH21" s="8">
        <v>9.5</v>
      </c>
      <c r="AI21" s="8">
        <v>23.4</v>
      </c>
    </row>
    <row r="25" spans="1:35" x14ac:dyDescent="0.25">
      <c r="A25" s="5" t="s">
        <v>275</v>
      </c>
      <c r="G25" s="16" t="s">
        <v>195</v>
      </c>
    </row>
    <row r="26" spans="1:35" x14ac:dyDescent="0.25">
      <c r="A26" t="s">
        <v>64</v>
      </c>
      <c r="B26" s="7" t="s">
        <v>65</v>
      </c>
      <c r="C26" s="7" t="s">
        <v>34</v>
      </c>
      <c r="D26" s="14" t="s">
        <v>111</v>
      </c>
      <c r="E26" s="14"/>
      <c r="G26" s="16" t="s">
        <v>196</v>
      </c>
    </row>
    <row r="27" spans="1:35" x14ac:dyDescent="0.25">
      <c r="A27" s="20" t="s">
        <v>9</v>
      </c>
      <c r="B27" s="8">
        <v>99.195285386685072</v>
      </c>
      <c r="C27" s="8">
        <v>0.73031566318432517</v>
      </c>
      <c r="D27" s="8">
        <v>97.763866686843798</v>
      </c>
      <c r="E27" s="8">
        <v>100</v>
      </c>
      <c r="G27" s="17" t="s">
        <v>197</v>
      </c>
    </row>
    <row r="28" spans="1:35" x14ac:dyDescent="0.25">
      <c r="A28" s="21" t="s">
        <v>10</v>
      </c>
      <c r="B28" s="8">
        <v>79.200576721369146</v>
      </c>
      <c r="C28" s="8">
        <v>5.9103131642356725</v>
      </c>
      <c r="D28" s="8">
        <v>67.616362919467235</v>
      </c>
      <c r="E28" s="8">
        <v>90.784790523271056</v>
      </c>
      <c r="G28" s="18" t="s">
        <v>198</v>
      </c>
    </row>
    <row r="29" spans="1:35" x14ac:dyDescent="0.25">
      <c r="A29" s="21" t="s">
        <v>101</v>
      </c>
      <c r="B29" s="8">
        <v>19.947144432790218</v>
      </c>
      <c r="C29" s="8">
        <v>5.9228408367960776</v>
      </c>
      <c r="D29" s="8">
        <v>8.3383763926699057</v>
      </c>
      <c r="E29" s="8">
        <v>31.555912472910528</v>
      </c>
      <c r="G29" s="18" t="s">
        <v>199</v>
      </c>
    </row>
    <row r="30" spans="1:35" x14ac:dyDescent="0.25">
      <c r="A30" s="22" t="s">
        <v>126</v>
      </c>
      <c r="B30" s="8">
        <v>17.561622305321926</v>
      </c>
      <c r="C30" s="8">
        <v>6.1855493682197</v>
      </c>
      <c r="D30" s="8">
        <v>5.4379455436113133</v>
      </c>
      <c r="E30" s="8">
        <v>29.685299067032538</v>
      </c>
      <c r="G30" s="18" t="s">
        <v>214</v>
      </c>
    </row>
    <row r="31" spans="1:35" x14ac:dyDescent="0.25">
      <c r="A31" s="22" t="s">
        <v>103</v>
      </c>
      <c r="B31" s="8">
        <v>2.3759279660188799</v>
      </c>
      <c r="C31" s="8">
        <v>2.2779959921073174</v>
      </c>
      <c r="D31" s="8">
        <v>0</v>
      </c>
      <c r="E31" s="8">
        <v>6.840800110549222</v>
      </c>
      <c r="G31" s="16" t="s">
        <v>201</v>
      </c>
    </row>
    <row r="32" spans="1:35" x14ac:dyDescent="0.25">
      <c r="A32" s="20" t="s">
        <v>11</v>
      </c>
      <c r="B32" s="8">
        <v>0.80471461331491823</v>
      </c>
      <c r="C32" s="8">
        <v>0.73031566318432517</v>
      </c>
      <c r="D32" s="8">
        <v>0</v>
      </c>
      <c r="E32" s="8">
        <v>2.2361333131561953</v>
      </c>
      <c r="G32" s="16" t="s">
        <v>202</v>
      </c>
    </row>
    <row r="33" spans="1:7" x14ac:dyDescent="0.25">
      <c r="A33" s="21" t="s">
        <v>103</v>
      </c>
      <c r="B33" s="8">
        <v>0.18026715180101238</v>
      </c>
      <c r="C33" s="8">
        <v>0.2973491873229635</v>
      </c>
      <c r="D33" s="8">
        <v>0</v>
      </c>
      <c r="E33" s="8">
        <v>0.76307155895402079</v>
      </c>
      <c r="G33" s="16" t="s">
        <v>203</v>
      </c>
    </row>
    <row r="34" spans="1:7" x14ac:dyDescent="0.25">
      <c r="A34" s="21" t="s">
        <v>38</v>
      </c>
      <c r="B34" s="8">
        <v>0.21320803012436723</v>
      </c>
      <c r="C34" s="8">
        <v>0.39432957821665321</v>
      </c>
      <c r="D34" s="8">
        <v>0</v>
      </c>
      <c r="E34" s="8">
        <v>0.98609400342900755</v>
      </c>
      <c r="G34" s="16" t="s">
        <v>204</v>
      </c>
    </row>
    <row r="35" spans="1:7" x14ac:dyDescent="0.25">
      <c r="A35" s="21" t="s">
        <v>104</v>
      </c>
      <c r="B35" s="8">
        <v>0.40169490608936975</v>
      </c>
      <c r="C35" s="8">
        <v>0.54422257184522616</v>
      </c>
      <c r="D35" s="8">
        <v>0</v>
      </c>
      <c r="E35" s="8">
        <v>1.468371146906013</v>
      </c>
      <c r="G35" s="16" t="s">
        <v>205</v>
      </c>
    </row>
    <row r="36" spans="1:7" x14ac:dyDescent="0.25">
      <c r="A36" s="22" t="s">
        <v>14</v>
      </c>
      <c r="B36" s="8">
        <v>5.4237959048059559E-2</v>
      </c>
      <c r="C36" s="8">
        <v>0.18236958966558206</v>
      </c>
      <c r="D36" s="8">
        <v>0</v>
      </c>
      <c r="E36" s="8">
        <v>0.4116823547926004</v>
      </c>
      <c r="G36" s="16" t="s">
        <v>206</v>
      </c>
    </row>
    <row r="37" spans="1:7" x14ac:dyDescent="0.25">
      <c r="A37" s="22" t="s">
        <v>15</v>
      </c>
      <c r="B37" s="8">
        <v>0.35345694704131025</v>
      </c>
      <c r="C37" s="8">
        <v>0.52259244682188866</v>
      </c>
      <c r="D37" s="8">
        <v>0</v>
      </c>
      <c r="E37" s="8">
        <v>1.377738142812212</v>
      </c>
      <c r="G37" s="16" t="s">
        <v>207</v>
      </c>
    </row>
    <row r="38" spans="1:7" x14ac:dyDescent="0.25">
      <c r="A38" s="21" t="s">
        <v>105</v>
      </c>
      <c r="B38" s="8">
        <v>5.6702919275295277E-2</v>
      </c>
      <c r="C38" s="8">
        <v>0.11443421833886837</v>
      </c>
      <c r="D38" s="8">
        <v>0</v>
      </c>
      <c r="E38" s="8">
        <v>0.28099398721947727</v>
      </c>
      <c r="G38" s="16" t="s">
        <v>208</v>
      </c>
    </row>
    <row r="39" spans="1:7" x14ac:dyDescent="0.25">
      <c r="A39" s="22" t="s">
        <v>17</v>
      </c>
      <c r="B39" s="8">
        <v>3.8702919275295275E-2</v>
      </c>
      <c r="C39" s="8">
        <v>8.8665381210385807E-2</v>
      </c>
      <c r="D39" s="8">
        <v>0</v>
      </c>
      <c r="E39" s="8">
        <v>0.21248706644765147</v>
      </c>
      <c r="G39" s="16" t="s">
        <v>209</v>
      </c>
    </row>
    <row r="40" spans="1:7" x14ac:dyDescent="0.25">
      <c r="A40" s="22" t="s">
        <v>18</v>
      </c>
      <c r="B40" s="8">
        <v>2.1613868674957813E-2</v>
      </c>
      <c r="C40" s="8">
        <v>7.5957107403783905E-2</v>
      </c>
      <c r="D40" s="8">
        <v>0</v>
      </c>
      <c r="E40" s="8">
        <v>0.17048979918637427</v>
      </c>
      <c r="G40" s="16" t="s">
        <v>210</v>
      </c>
    </row>
    <row r="41" spans="1:7" x14ac:dyDescent="0.25">
      <c r="A41" s="20" t="s">
        <v>41</v>
      </c>
      <c r="B41" s="8">
        <v>0.37608905060033743</v>
      </c>
      <c r="C41" s="8">
        <v>0.49462536936480028</v>
      </c>
      <c r="D41" s="8">
        <v>0</v>
      </c>
      <c r="E41" s="8">
        <v>1.345554774555346</v>
      </c>
      <c r="G41" s="16" t="s">
        <v>211</v>
      </c>
    </row>
    <row r="42" spans="1:7" x14ac:dyDescent="0.25">
      <c r="A42" s="20" t="s">
        <v>106</v>
      </c>
      <c r="B42" s="8">
        <v>0.39677373499156332</v>
      </c>
      <c r="C42" s="8">
        <v>0.53485527584059656</v>
      </c>
      <c r="D42" s="8">
        <v>0</v>
      </c>
      <c r="E42" s="8">
        <v>1.4450900756391327</v>
      </c>
      <c r="G42" s="16" t="s">
        <v>212</v>
      </c>
    </row>
    <row r="43" spans="1:7" x14ac:dyDescent="0.25">
      <c r="A43" s="20" t="s">
        <v>22</v>
      </c>
      <c r="B43" s="8">
        <v>0.64044746151390575</v>
      </c>
      <c r="C43" s="8">
        <v>0.67223331137817854</v>
      </c>
      <c r="D43" s="8">
        <v>0</v>
      </c>
      <c r="E43" s="8">
        <v>1.9580247518151357</v>
      </c>
      <c r="G43" s="19" t="s">
        <v>213</v>
      </c>
    </row>
    <row r="44" spans="1:7" x14ac:dyDescent="0.25">
      <c r="A44" s="20" t="s">
        <v>42</v>
      </c>
      <c r="B44" s="8">
        <v>99.555988305960369</v>
      </c>
      <c r="C44" s="8">
        <v>0.55540556472259373</v>
      </c>
      <c r="D44" s="8">
        <v>98.467393399104083</v>
      </c>
      <c r="E44" s="8">
        <v>100</v>
      </c>
    </row>
    <row r="45" spans="1:7" x14ac:dyDescent="0.25">
      <c r="A45" s="20" t="s">
        <v>21</v>
      </c>
      <c r="B45" s="8">
        <v>0.44401169403962293</v>
      </c>
      <c r="C45" s="8">
        <v>0.55740138891526869</v>
      </c>
      <c r="D45" s="8">
        <v>0</v>
      </c>
      <c r="E45" s="8">
        <v>1.5365184163135495</v>
      </c>
    </row>
    <row r="49" spans="1:5" x14ac:dyDescent="0.25">
      <c r="A49" s="5" t="s">
        <v>276</v>
      </c>
    </row>
    <row r="50" spans="1:5" x14ac:dyDescent="0.25">
      <c r="A50" t="s">
        <v>64</v>
      </c>
      <c r="B50" s="7" t="s">
        <v>65</v>
      </c>
      <c r="C50" s="7" t="s">
        <v>34</v>
      </c>
      <c r="D50" s="14" t="s">
        <v>111</v>
      </c>
      <c r="E50" s="14"/>
    </row>
    <row r="51" spans="1:5" x14ac:dyDescent="0.25">
      <c r="A51" s="20" t="s">
        <v>9</v>
      </c>
      <c r="B51" s="8">
        <v>30.982079570642806</v>
      </c>
      <c r="C51" s="8">
        <v>2.2523028905532643</v>
      </c>
      <c r="D51" s="8">
        <v>26.567565905158411</v>
      </c>
      <c r="E51" s="8">
        <v>35.396593236127202</v>
      </c>
    </row>
    <row r="52" spans="1:5" x14ac:dyDescent="0.25">
      <c r="A52" s="21" t="s">
        <v>10</v>
      </c>
      <c r="B52" s="8">
        <v>18.023585071012231</v>
      </c>
      <c r="C52" s="8">
        <v>2.4336379328535878</v>
      </c>
      <c r="D52" s="8">
        <v>13.253654722619199</v>
      </c>
      <c r="E52" s="8">
        <v>22.793515419405264</v>
      </c>
    </row>
    <row r="53" spans="1:5" x14ac:dyDescent="0.25">
      <c r="A53" s="21" t="s">
        <v>101</v>
      </c>
      <c r="B53" s="8">
        <v>12.958461517937772</v>
      </c>
      <c r="C53" s="8">
        <v>3.0958239094044337</v>
      </c>
      <c r="D53" s="8">
        <v>6.8906466555050825</v>
      </c>
      <c r="E53" s="8">
        <v>19.026276380370462</v>
      </c>
    </row>
    <row r="54" spans="1:5" x14ac:dyDescent="0.25">
      <c r="A54" s="22" t="s">
        <v>126</v>
      </c>
      <c r="B54" s="8">
        <v>8.4682110664149093</v>
      </c>
      <c r="C54" s="8">
        <v>3.7418835537439916</v>
      </c>
      <c r="D54" s="8">
        <v>1.1341193010766855</v>
      </c>
      <c r="E54" s="8">
        <v>15.802302831753133</v>
      </c>
    </row>
    <row r="55" spans="1:5" x14ac:dyDescent="0.25">
      <c r="A55" s="22" t="s">
        <v>103</v>
      </c>
      <c r="B55" s="8">
        <v>4.4967585584106393</v>
      </c>
      <c r="C55" s="8">
        <v>2.3379627843724315</v>
      </c>
      <c r="D55" s="8">
        <v>0</v>
      </c>
      <c r="E55" s="8">
        <v>9.0791656157806049</v>
      </c>
    </row>
    <row r="56" spans="1:5" x14ac:dyDescent="0.25">
      <c r="A56" s="20" t="s">
        <v>11</v>
      </c>
      <c r="B56" s="8">
        <v>69.017920429357204</v>
      </c>
      <c r="C56" s="8">
        <v>2.251887980682922</v>
      </c>
      <c r="D56" s="8">
        <v>64.60421998721867</v>
      </c>
      <c r="E56" s="8">
        <v>73.431620871495738</v>
      </c>
    </row>
    <row r="57" spans="1:5" x14ac:dyDescent="0.25">
      <c r="A57" s="21" t="s">
        <v>103</v>
      </c>
      <c r="B57" s="8">
        <v>29.115043859289059</v>
      </c>
      <c r="C57" s="8">
        <v>2.1769552550740863</v>
      </c>
      <c r="D57" s="8">
        <v>24.848211559343852</v>
      </c>
      <c r="E57" s="8">
        <v>33.381876159234267</v>
      </c>
    </row>
    <row r="58" spans="1:5" x14ac:dyDescent="0.25">
      <c r="A58" s="21" t="s">
        <v>38</v>
      </c>
      <c r="B58" s="8">
        <v>27.795494499630571</v>
      </c>
      <c r="C58" s="8">
        <v>2.8909145418925108</v>
      </c>
      <c r="D58" s="8">
        <v>22.129301997521249</v>
      </c>
      <c r="E58" s="8">
        <v>33.46168700173989</v>
      </c>
    </row>
    <row r="59" spans="1:5" x14ac:dyDescent="0.25">
      <c r="A59" s="21" t="s">
        <v>104</v>
      </c>
      <c r="B59" s="8">
        <v>7.8328417207125849</v>
      </c>
      <c r="C59" s="8">
        <v>2.4555850639264833</v>
      </c>
      <c r="D59" s="8">
        <v>3.0198949954166778</v>
      </c>
      <c r="E59" s="8">
        <v>12.645788446008492</v>
      </c>
    </row>
    <row r="60" spans="1:5" x14ac:dyDescent="0.25">
      <c r="A60" s="22" t="s">
        <v>14</v>
      </c>
      <c r="B60" s="8">
        <v>0.30939276331992449</v>
      </c>
      <c r="C60" s="8">
        <v>0.65397166936983075</v>
      </c>
      <c r="D60" s="8">
        <v>0</v>
      </c>
      <c r="E60" s="8">
        <v>1.5911772352847928</v>
      </c>
    </row>
    <row r="61" spans="1:5" x14ac:dyDescent="0.25">
      <c r="A61" s="22" t="s">
        <v>15</v>
      </c>
      <c r="B61" s="8">
        <v>7.5295963385600526</v>
      </c>
      <c r="C61" s="8">
        <v>2.4479534085265668</v>
      </c>
      <c r="D61" s="8">
        <v>2.7316076578479818</v>
      </c>
      <c r="E61" s="8">
        <v>12.327585019272124</v>
      </c>
    </row>
    <row r="62" spans="1:5" x14ac:dyDescent="0.25">
      <c r="A62" s="21" t="s">
        <v>105</v>
      </c>
      <c r="B62" s="8">
        <v>4.2585873286265494</v>
      </c>
      <c r="C62" s="8">
        <v>0.96204753118916564</v>
      </c>
      <c r="D62" s="8">
        <v>2.3729741674957845</v>
      </c>
      <c r="E62" s="8">
        <v>6.1442004897573144</v>
      </c>
    </row>
    <row r="63" spans="1:5" x14ac:dyDescent="0.25">
      <c r="A63" s="22" t="s">
        <v>17</v>
      </c>
      <c r="B63" s="8">
        <v>3.968737890977752</v>
      </c>
      <c r="C63" s="8">
        <v>0.84462230361693769</v>
      </c>
      <c r="D63" s="8">
        <v>2.3132781758885539</v>
      </c>
      <c r="E63" s="8">
        <v>5.6241976060669501</v>
      </c>
    </row>
    <row r="64" spans="1:5" x14ac:dyDescent="0.25">
      <c r="A64" s="22" t="s">
        <v>18</v>
      </c>
      <c r="B64" s="8">
        <v>0.29317995238486166</v>
      </c>
      <c r="C64" s="8">
        <v>0.42787960017373866</v>
      </c>
      <c r="D64" s="8">
        <v>0</v>
      </c>
      <c r="E64" s="8">
        <v>1.1318239687253895</v>
      </c>
    </row>
    <row r="65" spans="1:5" x14ac:dyDescent="0.25">
      <c r="A65" s="20" t="s">
        <v>41</v>
      </c>
      <c r="B65" s="8">
        <v>56.90986610294722</v>
      </c>
      <c r="C65" s="8">
        <v>3.0482791925473225</v>
      </c>
      <c r="D65" s="8">
        <v>50.935238885554469</v>
      </c>
      <c r="E65" s="8">
        <v>62.884493320339971</v>
      </c>
    </row>
    <row r="66" spans="1:5" x14ac:dyDescent="0.25">
      <c r="A66" s="20" t="s">
        <v>106</v>
      </c>
      <c r="B66" s="8">
        <v>11.79288890485182</v>
      </c>
      <c r="C66" s="8">
        <v>2.4557751535201033</v>
      </c>
      <c r="D66" s="8">
        <v>6.9795696039524175</v>
      </c>
      <c r="E66" s="8">
        <v>16.606208205751223</v>
      </c>
    </row>
    <row r="67" spans="1:5" x14ac:dyDescent="0.25">
      <c r="A67" s="20" t="s">
        <v>22</v>
      </c>
      <c r="B67" s="8">
        <v>39.897959301370989</v>
      </c>
      <c r="C67" s="8">
        <v>2.4270965165680716</v>
      </c>
      <c r="D67" s="8">
        <v>35.140850128897569</v>
      </c>
      <c r="E67" s="8">
        <v>44.655068473844409</v>
      </c>
    </row>
    <row r="68" spans="1:5" x14ac:dyDescent="0.25">
      <c r="A68" s="20" t="s">
        <v>42</v>
      </c>
      <c r="B68" s="8">
        <v>87.903053074460217</v>
      </c>
      <c r="C68" s="8">
        <v>2.4609231683785202</v>
      </c>
      <c r="D68" s="8">
        <v>83.079643664438322</v>
      </c>
      <c r="E68" s="8">
        <v>92.726462484482113</v>
      </c>
    </row>
    <row r="69" spans="1:5" x14ac:dyDescent="0.25">
      <c r="A69" s="20" t="s">
        <v>21</v>
      </c>
      <c r="B69" s="8">
        <v>12.096946925539775</v>
      </c>
      <c r="C69" s="8">
        <v>2.4606037735470663</v>
      </c>
      <c r="D69" s="8">
        <v>7.2741635293875255</v>
      </c>
      <c r="E69" s="8">
        <v>16.919730321692025</v>
      </c>
    </row>
  </sheetData>
  <mergeCells count="8">
    <mergeCell ref="AB2:AC2"/>
    <mergeCell ref="AH2:AI2"/>
    <mergeCell ref="D2:E2"/>
    <mergeCell ref="D26:E26"/>
    <mergeCell ref="D50:E50"/>
    <mergeCell ref="J2:K2"/>
    <mergeCell ref="P2:Q2"/>
    <mergeCell ref="V2:W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2B54-F00F-4B5A-9DDC-5D4D3889E470}">
  <dimension ref="A1:AU69"/>
  <sheetViews>
    <sheetView workbookViewId="0"/>
  </sheetViews>
  <sheetFormatPr defaultRowHeight="15" x14ac:dyDescent="0.25"/>
  <cols>
    <col min="1" max="1" width="21.42578125" customWidth="1"/>
  </cols>
  <sheetData>
    <row r="1" spans="1:47" x14ac:dyDescent="0.25">
      <c r="A1" s="5" t="s">
        <v>285</v>
      </c>
      <c r="G1" s="12" t="s">
        <v>287</v>
      </c>
      <c r="I1" s="12" t="s">
        <v>110</v>
      </c>
      <c r="M1" s="12" t="s">
        <v>264</v>
      </c>
      <c r="O1" s="12" t="s">
        <v>110</v>
      </c>
      <c r="S1" s="12" t="s">
        <v>265</v>
      </c>
      <c r="U1" s="12" t="s">
        <v>110</v>
      </c>
      <c r="Y1" s="12" t="s">
        <v>288</v>
      </c>
      <c r="AA1" s="12" t="s">
        <v>110</v>
      </c>
      <c r="AE1" s="12" t="s">
        <v>289</v>
      </c>
      <c r="AG1" s="12" t="s">
        <v>110</v>
      </c>
      <c r="AK1" s="12" t="s">
        <v>290</v>
      </c>
      <c r="AM1" s="12" t="s">
        <v>110</v>
      </c>
      <c r="AQ1" s="12" t="s">
        <v>291</v>
      </c>
      <c r="AS1" s="12" t="s">
        <v>292</v>
      </c>
    </row>
    <row r="2" spans="1:47" x14ac:dyDescent="0.25">
      <c r="A2" t="s">
        <v>64</v>
      </c>
      <c r="B2" s="7" t="s">
        <v>65</v>
      </c>
      <c r="C2" s="7" t="s">
        <v>34</v>
      </c>
      <c r="D2" s="14" t="s">
        <v>111</v>
      </c>
      <c r="E2" s="14"/>
      <c r="G2" t="s">
        <v>64</v>
      </c>
      <c r="H2" s="7" t="s">
        <v>65</v>
      </c>
      <c r="I2" s="7" t="s">
        <v>34</v>
      </c>
      <c r="J2" s="14" t="s">
        <v>111</v>
      </c>
      <c r="K2" s="14"/>
      <c r="M2" t="s">
        <v>64</v>
      </c>
      <c r="N2" s="7" t="s">
        <v>65</v>
      </c>
      <c r="O2" s="7" t="s">
        <v>34</v>
      </c>
      <c r="P2" s="14" t="s">
        <v>111</v>
      </c>
      <c r="Q2" s="14"/>
      <c r="S2" t="s">
        <v>64</v>
      </c>
      <c r="T2" s="7" t="s">
        <v>65</v>
      </c>
      <c r="U2" s="7" t="s">
        <v>34</v>
      </c>
      <c r="V2" s="14" t="s">
        <v>111</v>
      </c>
      <c r="W2" s="14"/>
      <c r="Y2" t="s">
        <v>64</v>
      </c>
      <c r="Z2" s="7" t="s">
        <v>65</v>
      </c>
      <c r="AA2" s="7" t="s">
        <v>34</v>
      </c>
      <c r="AB2" s="14" t="s">
        <v>111</v>
      </c>
      <c r="AC2" s="14"/>
      <c r="AE2" t="s">
        <v>64</v>
      </c>
      <c r="AF2" s="7" t="s">
        <v>65</v>
      </c>
      <c r="AG2" s="7" t="s">
        <v>34</v>
      </c>
      <c r="AH2" s="14" t="s">
        <v>111</v>
      </c>
      <c r="AI2" s="14"/>
      <c r="AK2" t="s">
        <v>64</v>
      </c>
      <c r="AL2" s="7" t="s">
        <v>65</v>
      </c>
      <c r="AM2" s="7" t="s">
        <v>34</v>
      </c>
      <c r="AN2" s="14" t="s">
        <v>111</v>
      </c>
      <c r="AO2" s="14"/>
      <c r="AQ2" t="s">
        <v>64</v>
      </c>
      <c r="AR2" s="7" t="s">
        <v>65</v>
      </c>
      <c r="AS2" s="7" t="s">
        <v>34</v>
      </c>
      <c r="AT2" s="14" t="s">
        <v>111</v>
      </c>
      <c r="AU2" s="14"/>
    </row>
    <row r="3" spans="1:47" x14ac:dyDescent="0.25">
      <c r="A3" s="20" t="s">
        <v>9</v>
      </c>
      <c r="B3" s="8">
        <v>68.335722830648962</v>
      </c>
      <c r="C3" s="8">
        <v>0.77840108577071798</v>
      </c>
      <c r="D3" s="8">
        <v>66.810056702538361</v>
      </c>
      <c r="E3" s="8">
        <v>69.861388958759562</v>
      </c>
      <c r="G3" s="20" t="s">
        <v>9</v>
      </c>
      <c r="H3" s="8">
        <v>99.147000000000006</v>
      </c>
      <c r="I3" s="8">
        <v>0.85199999999999998</v>
      </c>
      <c r="J3" s="8">
        <v>96.9</v>
      </c>
      <c r="K3" s="8">
        <v>100</v>
      </c>
      <c r="M3" s="20" t="s">
        <v>9</v>
      </c>
      <c r="N3" s="8">
        <v>99.379000000000005</v>
      </c>
      <c r="O3" s="8">
        <v>0.80600000000000005</v>
      </c>
      <c r="P3" s="8">
        <v>97.1</v>
      </c>
      <c r="Q3" s="8">
        <v>100</v>
      </c>
      <c r="S3" s="20" t="s">
        <v>9</v>
      </c>
      <c r="T3" s="8">
        <v>98.522999999999996</v>
      </c>
      <c r="U3" s="8">
        <v>1.597</v>
      </c>
      <c r="V3" s="8">
        <v>94.4</v>
      </c>
      <c r="W3" s="8">
        <v>100</v>
      </c>
      <c r="Y3" s="20" t="s">
        <v>9</v>
      </c>
      <c r="Z3" s="8">
        <v>85.134</v>
      </c>
      <c r="AA3" s="8">
        <v>3.6190000000000002</v>
      </c>
      <c r="AB3" s="8">
        <v>77.2</v>
      </c>
      <c r="AC3" s="8">
        <v>91.5</v>
      </c>
      <c r="AE3" s="20" t="s">
        <v>9</v>
      </c>
      <c r="AF3" s="8">
        <v>9.6120000000000001</v>
      </c>
      <c r="AG3" s="8">
        <v>2.476</v>
      </c>
      <c r="AH3" s="8">
        <v>5.4</v>
      </c>
      <c r="AI3" s="8">
        <v>15.1</v>
      </c>
      <c r="AK3" s="20" t="s">
        <v>9</v>
      </c>
      <c r="AL3" s="11">
        <v>12.076000000000001</v>
      </c>
      <c r="AM3" s="11">
        <v>3.673</v>
      </c>
      <c r="AN3" s="11">
        <v>4.798</v>
      </c>
      <c r="AO3" s="11">
        <v>19.399999999999999</v>
      </c>
      <c r="AQ3" s="20" t="s">
        <v>9</v>
      </c>
      <c r="AR3" s="8">
        <v>5.2930000000000001</v>
      </c>
      <c r="AS3" s="8">
        <v>1.8420000000000001</v>
      </c>
      <c r="AT3" s="8">
        <v>2.2999999999999998</v>
      </c>
      <c r="AU3" s="8">
        <v>9.3000000000000007</v>
      </c>
    </row>
    <row r="4" spans="1:47" x14ac:dyDescent="0.25">
      <c r="A4" s="21" t="s">
        <v>10</v>
      </c>
      <c r="B4" s="8">
        <v>49.223638333508205</v>
      </c>
      <c r="C4" s="8">
        <v>2.1790941056750897</v>
      </c>
      <c r="D4" s="8">
        <v>44.952613886385031</v>
      </c>
      <c r="E4" s="8">
        <v>53.49466278063138</v>
      </c>
      <c r="G4" s="21" t="s">
        <v>10</v>
      </c>
      <c r="H4" s="8">
        <v>83.034000000000006</v>
      </c>
      <c r="I4" s="8">
        <v>6.6369999999999996</v>
      </c>
      <c r="J4" s="8">
        <v>69.900000000000006</v>
      </c>
      <c r="K4" s="8">
        <v>95.5</v>
      </c>
      <c r="M4" s="21" t="s">
        <v>10</v>
      </c>
      <c r="N4" s="8">
        <v>75.567999999999998</v>
      </c>
      <c r="O4" s="8">
        <v>5.0730000000000004</v>
      </c>
      <c r="P4" s="8">
        <v>65</v>
      </c>
      <c r="Q4" s="8">
        <v>84.902000000000001</v>
      </c>
      <c r="S4" s="21" t="s">
        <v>10</v>
      </c>
      <c r="T4" s="8">
        <v>69.951999999999998</v>
      </c>
      <c r="U4" s="8">
        <v>7.1040000000000001</v>
      </c>
      <c r="V4" s="8">
        <v>56.2</v>
      </c>
      <c r="W4" s="8">
        <v>86.201999999999998</v>
      </c>
      <c r="Y4" s="21" t="s">
        <v>10</v>
      </c>
      <c r="Z4" s="8">
        <v>39.536000000000001</v>
      </c>
      <c r="AA4" s="8">
        <v>5.2039999999999997</v>
      </c>
      <c r="AB4" s="8">
        <v>29.2</v>
      </c>
      <c r="AC4" s="8">
        <v>49.7</v>
      </c>
      <c r="AE4" s="21" t="s">
        <v>10</v>
      </c>
      <c r="AF4" s="8">
        <v>6.11</v>
      </c>
      <c r="AG4" s="8">
        <v>2.0779999999999998</v>
      </c>
      <c r="AH4" s="8">
        <v>2.2000000000000002</v>
      </c>
      <c r="AI4" s="8">
        <v>10.3</v>
      </c>
      <c r="AK4" s="21" t="s">
        <v>10</v>
      </c>
      <c r="AL4" s="11">
        <v>4.1550000000000002</v>
      </c>
      <c r="AM4" s="11">
        <v>1.5660000000000001</v>
      </c>
      <c r="AN4" s="11">
        <v>1.5</v>
      </c>
      <c r="AO4" s="11">
        <v>7.6</v>
      </c>
      <c r="AQ4" s="21" t="s">
        <v>10</v>
      </c>
      <c r="AR4" s="8">
        <v>4.0919999999999996</v>
      </c>
      <c r="AS4" s="8">
        <v>1.5649999999999999</v>
      </c>
      <c r="AT4" s="8">
        <v>1.4</v>
      </c>
      <c r="AU4" s="8">
        <v>7.6</v>
      </c>
    </row>
    <row r="5" spans="1:47" x14ac:dyDescent="0.25">
      <c r="A5" s="21" t="s">
        <v>101</v>
      </c>
      <c r="B5" s="8">
        <v>19.082438967000684</v>
      </c>
      <c r="C5" s="8">
        <v>2.2546469968228964</v>
      </c>
      <c r="D5" s="8">
        <v>14.663330853227807</v>
      </c>
      <c r="E5" s="8">
        <v>23.501547080773562</v>
      </c>
      <c r="G5" s="21" t="s">
        <v>101</v>
      </c>
      <c r="H5" s="8">
        <v>16.062000000000001</v>
      </c>
      <c r="I5" s="8">
        <v>6.6840000000000002</v>
      </c>
      <c r="J5" s="8">
        <v>3.4</v>
      </c>
      <c r="K5" s="8">
        <v>29.3</v>
      </c>
      <c r="M5" s="21" t="s">
        <v>101</v>
      </c>
      <c r="N5" s="8">
        <v>23.763000000000002</v>
      </c>
      <c r="O5" s="8">
        <v>5.0410000000000004</v>
      </c>
      <c r="P5" s="8">
        <v>14.4</v>
      </c>
      <c r="Q5" s="8">
        <v>34.1</v>
      </c>
      <c r="S5" s="21" t="s">
        <v>101</v>
      </c>
      <c r="T5" s="8">
        <v>28.529</v>
      </c>
      <c r="U5" s="8">
        <v>7.2130000000000001</v>
      </c>
      <c r="V5" s="8">
        <v>11.2</v>
      </c>
      <c r="W5" s="8">
        <v>42.2</v>
      </c>
      <c r="Y5" s="21" t="s">
        <v>101</v>
      </c>
      <c r="Z5" s="8">
        <v>45.588999999999999</v>
      </c>
      <c r="AA5" s="8">
        <v>5.7949999999999999</v>
      </c>
      <c r="AB5" s="8">
        <v>34.200000000000003</v>
      </c>
      <c r="AC5" s="8">
        <v>57</v>
      </c>
      <c r="AE5" s="21" t="s">
        <v>101</v>
      </c>
      <c r="AF5" s="8">
        <v>3.4969999999999999</v>
      </c>
      <c r="AG5" s="8">
        <v>2.6850000000000001</v>
      </c>
      <c r="AH5" s="8">
        <v>0</v>
      </c>
      <c r="AI5" s="8">
        <v>9.6999999999999993</v>
      </c>
      <c r="AK5" s="21" t="s">
        <v>101</v>
      </c>
      <c r="AL5" s="11">
        <v>7.9130000000000003</v>
      </c>
      <c r="AM5" s="11">
        <v>3.6070000000000002</v>
      </c>
      <c r="AN5" s="11">
        <v>0.4</v>
      </c>
      <c r="AO5" s="11">
        <v>15.1</v>
      </c>
      <c r="AQ5" s="21" t="s">
        <v>101</v>
      </c>
      <c r="AR5" s="8">
        <v>1.1990000000000001</v>
      </c>
      <c r="AS5" s="8">
        <v>1.5109999999999999</v>
      </c>
      <c r="AT5" s="8">
        <v>0</v>
      </c>
      <c r="AU5" s="8">
        <v>5.2</v>
      </c>
    </row>
    <row r="6" spans="1:47" x14ac:dyDescent="0.25">
      <c r="A6" s="22" t="s">
        <v>126</v>
      </c>
      <c r="B6" s="8">
        <v>18.192993015843868</v>
      </c>
      <c r="C6" s="8">
        <v>2.4048870758232792</v>
      </c>
      <c r="D6" s="8">
        <v>13.479414347230241</v>
      </c>
      <c r="E6" s="8">
        <v>22.906571684457496</v>
      </c>
      <c r="G6" s="22" t="s">
        <v>126</v>
      </c>
      <c r="H6" s="8">
        <v>15.603999999999999</v>
      </c>
      <c r="I6" s="8">
        <v>6.8040000000000003</v>
      </c>
      <c r="J6" s="8">
        <v>2.7</v>
      </c>
      <c r="K6" s="8">
        <v>29.1</v>
      </c>
      <c r="M6" s="22" t="s">
        <v>126</v>
      </c>
      <c r="N6" s="8">
        <v>23.038</v>
      </c>
      <c r="O6" s="8">
        <v>5.2309999999999999</v>
      </c>
      <c r="P6" s="8">
        <v>13</v>
      </c>
      <c r="Q6" s="8">
        <v>33.701999999999998</v>
      </c>
      <c r="S6" s="22" t="s">
        <v>126</v>
      </c>
      <c r="T6" s="8">
        <v>27.164000000000001</v>
      </c>
      <c r="U6" s="8">
        <v>7.9660000000000002</v>
      </c>
      <c r="V6" s="8">
        <v>8.1999999999999993</v>
      </c>
      <c r="W6" s="8">
        <v>41.5</v>
      </c>
      <c r="Y6" s="22" t="s">
        <v>126</v>
      </c>
      <c r="Z6" s="8">
        <v>42.34</v>
      </c>
      <c r="AA6" s="8">
        <v>7.0650000000000004</v>
      </c>
      <c r="AB6" s="8">
        <v>28.6</v>
      </c>
      <c r="AC6" s="8">
        <v>55.6</v>
      </c>
      <c r="AE6" s="22" t="s">
        <v>126</v>
      </c>
      <c r="AF6" s="8">
        <v>3.4260000000000002</v>
      </c>
      <c r="AG6" s="8">
        <v>2.6829999999999998</v>
      </c>
      <c r="AH6" s="8">
        <v>0</v>
      </c>
      <c r="AI6" s="8">
        <v>9.6999999999999993</v>
      </c>
      <c r="AK6" s="22" t="s">
        <v>126</v>
      </c>
      <c r="AL6" s="11">
        <v>7.5430000000000001</v>
      </c>
      <c r="AM6" s="11">
        <v>3.694</v>
      </c>
      <c r="AN6" s="11">
        <v>0</v>
      </c>
      <c r="AO6" s="11">
        <v>14.8</v>
      </c>
      <c r="AQ6" s="22" t="s">
        <v>126</v>
      </c>
      <c r="AR6" s="8">
        <v>0.66200000000000003</v>
      </c>
      <c r="AS6" s="8">
        <v>1.079</v>
      </c>
      <c r="AT6" s="8">
        <v>0</v>
      </c>
      <c r="AU6" s="8">
        <v>3.8</v>
      </c>
    </row>
    <row r="7" spans="1:47" x14ac:dyDescent="0.25">
      <c r="A7" s="22" t="s">
        <v>103</v>
      </c>
      <c r="B7" s="8">
        <v>0.88867411468443414</v>
      </c>
      <c r="C7" s="8">
        <v>0.71832710350525164</v>
      </c>
      <c r="D7" s="8">
        <v>0</v>
      </c>
      <c r="E7" s="8">
        <v>2.2965952375547274</v>
      </c>
      <c r="G7" s="22" t="s">
        <v>103</v>
      </c>
      <c r="H7" s="8">
        <v>0.45500000000000002</v>
      </c>
      <c r="I7" s="8">
        <v>0.98</v>
      </c>
      <c r="J7" s="8">
        <v>0</v>
      </c>
      <c r="K7" s="8">
        <v>3.5</v>
      </c>
      <c r="M7" s="22" t="s">
        <v>103</v>
      </c>
      <c r="N7" s="8">
        <v>0.71599999999999997</v>
      </c>
      <c r="O7" s="8">
        <v>1.456</v>
      </c>
      <c r="P7" s="8">
        <v>0</v>
      </c>
      <c r="Q7" s="8">
        <v>5.1020000000000003</v>
      </c>
      <c r="S7" s="22" t="s">
        <v>103</v>
      </c>
      <c r="T7" s="8">
        <v>1.355</v>
      </c>
      <c r="U7" s="8">
        <v>2.3929999999999998</v>
      </c>
      <c r="V7" s="8">
        <v>0</v>
      </c>
      <c r="W7" s="8">
        <v>8.1</v>
      </c>
      <c r="Y7" s="22" t="s">
        <v>103</v>
      </c>
      <c r="Z7" s="8">
        <v>3.2530000000000001</v>
      </c>
      <c r="AA7" s="8">
        <v>4.306</v>
      </c>
      <c r="AB7" s="8">
        <v>0</v>
      </c>
      <c r="AC7" s="8">
        <v>13.8</v>
      </c>
      <c r="AE7" s="22" t="s">
        <v>103</v>
      </c>
      <c r="AF7" s="8">
        <v>8.1000000000000003E-2</v>
      </c>
      <c r="AG7" s="8">
        <v>0.27700000000000002</v>
      </c>
      <c r="AH7" s="8">
        <v>0</v>
      </c>
      <c r="AI7" s="8">
        <v>0.8</v>
      </c>
      <c r="AK7" s="22" t="s">
        <v>103</v>
      </c>
      <c r="AL7" s="11">
        <v>0.378</v>
      </c>
      <c r="AM7" s="11">
        <v>0.92400000000000004</v>
      </c>
      <c r="AN7" s="11">
        <v>0</v>
      </c>
      <c r="AO7" s="11">
        <v>3.302</v>
      </c>
      <c r="AQ7" s="22" t="s">
        <v>103</v>
      </c>
      <c r="AR7" s="8">
        <v>0.54700000000000004</v>
      </c>
      <c r="AS7" s="8">
        <v>1.133</v>
      </c>
      <c r="AT7" s="8">
        <v>0</v>
      </c>
      <c r="AU7" s="8">
        <v>4.0999999999999996</v>
      </c>
    </row>
    <row r="8" spans="1:47" x14ac:dyDescent="0.25">
      <c r="A8" s="20" t="s">
        <v>11</v>
      </c>
      <c r="B8" s="8">
        <v>31.664277169351031</v>
      </c>
      <c r="C8" s="8">
        <v>0.77840867038237527</v>
      </c>
      <c r="D8" s="8">
        <v>30.138596175401574</v>
      </c>
      <c r="E8" s="8">
        <v>33.189958163300489</v>
      </c>
      <c r="G8" s="20" t="s">
        <v>11</v>
      </c>
      <c r="H8" s="8">
        <v>0.85299999999999998</v>
      </c>
      <c r="I8" s="8">
        <v>0.85199999999999998</v>
      </c>
      <c r="J8" s="8">
        <v>0</v>
      </c>
      <c r="K8" s="8">
        <v>3.1</v>
      </c>
      <c r="M8" s="20" t="s">
        <v>11</v>
      </c>
      <c r="N8" s="8">
        <v>0.621</v>
      </c>
      <c r="O8" s="8">
        <v>0.80600000000000005</v>
      </c>
      <c r="P8" s="8">
        <v>0</v>
      </c>
      <c r="Q8" s="8">
        <v>2.9</v>
      </c>
      <c r="S8" s="20" t="s">
        <v>11</v>
      </c>
      <c r="T8" s="8">
        <v>1.4770000000000001</v>
      </c>
      <c r="U8" s="8">
        <v>1.597</v>
      </c>
      <c r="V8" s="8">
        <v>0</v>
      </c>
      <c r="W8" s="8">
        <v>5.6</v>
      </c>
      <c r="Y8" s="20" t="s">
        <v>11</v>
      </c>
      <c r="Z8" s="8">
        <v>14.866</v>
      </c>
      <c r="AA8" s="8">
        <v>3.6190000000000002</v>
      </c>
      <c r="AB8" s="8">
        <v>8.5</v>
      </c>
      <c r="AC8" s="8">
        <v>22.8</v>
      </c>
      <c r="AE8" s="20" t="s">
        <v>11</v>
      </c>
      <c r="AF8" s="8">
        <v>90.388000000000005</v>
      </c>
      <c r="AG8" s="8">
        <v>2.476</v>
      </c>
      <c r="AH8" s="8">
        <v>84.8</v>
      </c>
      <c r="AI8" s="8">
        <v>94.6</v>
      </c>
      <c r="AK8" s="20" t="s">
        <v>11</v>
      </c>
      <c r="AL8" s="11">
        <v>87.924000000000007</v>
      </c>
      <c r="AM8" s="11">
        <v>3.673</v>
      </c>
      <c r="AN8" s="11">
        <v>80.5</v>
      </c>
      <c r="AO8" s="11">
        <v>95.2</v>
      </c>
      <c r="AQ8" s="20" t="s">
        <v>11</v>
      </c>
      <c r="AR8" s="8">
        <v>94.706999999999994</v>
      </c>
      <c r="AS8" s="8">
        <v>1.843</v>
      </c>
      <c r="AT8" s="8">
        <v>90.6</v>
      </c>
      <c r="AU8" s="8">
        <v>97.7</v>
      </c>
    </row>
    <row r="9" spans="1:47" x14ac:dyDescent="0.25">
      <c r="A9" s="21" t="s">
        <v>103</v>
      </c>
      <c r="B9" s="8">
        <v>18.701777590367772</v>
      </c>
      <c r="C9" s="8">
        <v>0.93283083923491272</v>
      </c>
      <c r="D9" s="8">
        <v>16.873429145467345</v>
      </c>
      <c r="E9" s="8">
        <v>20.5301260352682</v>
      </c>
      <c r="G9" s="21" t="s">
        <v>103</v>
      </c>
      <c r="H9" s="8">
        <v>0.623</v>
      </c>
      <c r="I9" s="8">
        <v>0.74299999999999999</v>
      </c>
      <c r="J9" s="8">
        <v>0</v>
      </c>
      <c r="K9" s="8">
        <v>2.6</v>
      </c>
      <c r="M9" s="21" t="s">
        <v>103</v>
      </c>
      <c r="N9" s="8">
        <v>0.44900000000000001</v>
      </c>
      <c r="O9" s="8">
        <v>0.74299999999999999</v>
      </c>
      <c r="P9" s="8">
        <v>0</v>
      </c>
      <c r="Q9" s="8">
        <v>2.6</v>
      </c>
      <c r="S9" s="21" t="s">
        <v>103</v>
      </c>
      <c r="T9" s="8">
        <v>1.2170000000000001</v>
      </c>
      <c r="U9" s="8">
        <v>1.542</v>
      </c>
      <c r="V9" s="8">
        <v>0</v>
      </c>
      <c r="W9" s="8">
        <v>5.2</v>
      </c>
      <c r="Y9" s="21" t="s">
        <v>103</v>
      </c>
      <c r="Z9" s="8">
        <v>1.3120000000000001</v>
      </c>
      <c r="AA9" s="8">
        <v>1.863</v>
      </c>
      <c r="AB9" s="8">
        <v>0</v>
      </c>
      <c r="AC9" s="8">
        <v>6.4</v>
      </c>
      <c r="AE9" s="21" t="s">
        <v>103</v>
      </c>
      <c r="AF9" s="8">
        <v>43.762</v>
      </c>
      <c r="AG9" s="8">
        <v>4.181</v>
      </c>
      <c r="AH9" s="8">
        <v>35.4</v>
      </c>
      <c r="AI9" s="8">
        <v>51.902000000000001</v>
      </c>
      <c r="AK9" s="21" t="s">
        <v>103</v>
      </c>
      <c r="AL9" s="11">
        <v>62.057000000000002</v>
      </c>
      <c r="AM9" s="11">
        <v>4.2359999999999998</v>
      </c>
      <c r="AN9" s="11">
        <v>53.6</v>
      </c>
      <c r="AO9" s="11">
        <v>70.2</v>
      </c>
      <c r="AQ9" s="21" t="s">
        <v>103</v>
      </c>
      <c r="AR9" s="8">
        <v>73.795000000000002</v>
      </c>
      <c r="AS9" s="8">
        <v>3.6389999999999998</v>
      </c>
      <c r="AT9" s="8">
        <v>66.5</v>
      </c>
      <c r="AU9" s="8">
        <v>80.7</v>
      </c>
    </row>
    <row r="10" spans="1:47" x14ac:dyDescent="0.25">
      <c r="A10" s="21" t="s">
        <v>38</v>
      </c>
      <c r="B10" s="8">
        <v>9.6955579232464171</v>
      </c>
      <c r="C10" s="8">
        <v>1.0297858418762602</v>
      </c>
      <c r="D10" s="8">
        <v>7.6771776731689467</v>
      </c>
      <c r="E10" s="8">
        <v>11.713938173323887</v>
      </c>
      <c r="G10" s="21" t="s">
        <v>38</v>
      </c>
      <c r="H10" s="8">
        <v>0.129</v>
      </c>
      <c r="I10" s="8">
        <v>0.33600000000000002</v>
      </c>
      <c r="J10" s="8">
        <v>0</v>
      </c>
      <c r="K10" s="8">
        <v>1.1000000000000001</v>
      </c>
      <c r="M10" s="21" t="s">
        <v>38</v>
      </c>
      <c r="N10" s="8">
        <v>8.6999999999999994E-2</v>
      </c>
      <c r="O10" s="8">
        <v>0.222</v>
      </c>
      <c r="P10" s="8">
        <v>0</v>
      </c>
      <c r="Q10" s="8">
        <v>0.7</v>
      </c>
      <c r="S10" s="21" t="s">
        <v>38</v>
      </c>
      <c r="T10" s="8">
        <v>0.153</v>
      </c>
      <c r="U10" s="8">
        <v>0.39700000000000002</v>
      </c>
      <c r="V10" s="8">
        <v>0</v>
      </c>
      <c r="W10" s="8">
        <v>1.4</v>
      </c>
      <c r="Y10" s="21" t="s">
        <v>38</v>
      </c>
      <c r="Z10" s="8">
        <v>9.8689999999999998</v>
      </c>
      <c r="AA10" s="8">
        <v>3.867</v>
      </c>
      <c r="AB10" s="8">
        <v>2.2000000000000002</v>
      </c>
      <c r="AC10" s="8">
        <v>17.7</v>
      </c>
      <c r="AE10" s="21" t="s">
        <v>38</v>
      </c>
      <c r="AF10" s="8">
        <v>37.927999999999997</v>
      </c>
      <c r="AG10" s="8">
        <v>5.0780000000000003</v>
      </c>
      <c r="AH10" s="8">
        <v>28.097999999999999</v>
      </c>
      <c r="AI10" s="8">
        <v>47.9</v>
      </c>
      <c r="AK10" s="21" t="s">
        <v>38</v>
      </c>
      <c r="AL10" s="11">
        <v>17.545999999999999</v>
      </c>
      <c r="AM10" s="11">
        <v>4.0369999999999999</v>
      </c>
      <c r="AN10" s="11">
        <v>10.199999999999999</v>
      </c>
      <c r="AO10" s="11">
        <v>25.8</v>
      </c>
      <c r="AQ10" s="21" t="s">
        <v>38</v>
      </c>
      <c r="AR10" s="8">
        <v>11.590999999999999</v>
      </c>
      <c r="AS10" s="8">
        <v>3.8460000000000001</v>
      </c>
      <c r="AT10" s="8">
        <v>4.5999999999999996</v>
      </c>
      <c r="AU10" s="8">
        <v>19.600000000000001</v>
      </c>
    </row>
    <row r="11" spans="1:47" x14ac:dyDescent="0.25">
      <c r="A11" s="21" t="s">
        <v>104</v>
      </c>
      <c r="B11" s="8">
        <v>1.8887712187188501</v>
      </c>
      <c r="C11" s="8">
        <v>0.78092955315671442</v>
      </c>
      <c r="D11" s="8">
        <v>0.35814929453168998</v>
      </c>
      <c r="E11" s="8">
        <v>3.41939314290601</v>
      </c>
      <c r="G11" s="21" t="s">
        <v>104</v>
      </c>
      <c r="H11" s="8">
        <v>0.10100000000000001</v>
      </c>
      <c r="I11" s="8">
        <v>0.219</v>
      </c>
      <c r="J11" s="8">
        <v>0</v>
      </c>
      <c r="K11" s="8">
        <v>0.8</v>
      </c>
      <c r="M11" s="21" t="s">
        <v>104</v>
      </c>
      <c r="N11" s="8">
        <v>0.09</v>
      </c>
      <c r="O11" s="8">
        <v>0.20300000000000001</v>
      </c>
      <c r="P11" s="8">
        <v>0</v>
      </c>
      <c r="Q11" s="8">
        <v>0.6</v>
      </c>
      <c r="S11" s="21" t="s">
        <v>104</v>
      </c>
      <c r="T11" s="8">
        <v>0.104</v>
      </c>
      <c r="U11" s="8">
        <v>0.23699999999999999</v>
      </c>
      <c r="V11" s="8">
        <v>0</v>
      </c>
      <c r="W11" s="8">
        <v>0.8</v>
      </c>
      <c r="Y11" s="21" t="s">
        <v>104</v>
      </c>
      <c r="Z11" s="8">
        <v>2.3180000000000001</v>
      </c>
      <c r="AA11" s="8">
        <v>2.6059999999999999</v>
      </c>
      <c r="AB11" s="8">
        <v>0</v>
      </c>
      <c r="AC11" s="8">
        <v>8.6999999999999993</v>
      </c>
      <c r="AE11" s="21" t="s">
        <v>104</v>
      </c>
      <c r="AF11" s="8">
        <v>5.3109999999999999</v>
      </c>
      <c r="AG11" s="8">
        <v>3.919</v>
      </c>
      <c r="AH11" s="8">
        <v>0</v>
      </c>
      <c r="AI11" s="8">
        <v>13.9</v>
      </c>
      <c r="AK11" s="21" t="s">
        <v>104</v>
      </c>
      <c r="AL11" s="11">
        <v>3.3479999999999999</v>
      </c>
      <c r="AM11" s="11">
        <v>2.9780000000000002</v>
      </c>
      <c r="AN11" s="11">
        <v>0</v>
      </c>
      <c r="AO11" s="11">
        <v>9.9</v>
      </c>
      <c r="AQ11" s="21" t="s">
        <v>104</v>
      </c>
      <c r="AR11" s="8">
        <v>6.774</v>
      </c>
      <c r="AS11" s="8">
        <v>3.5009999999999999</v>
      </c>
      <c r="AT11" s="8">
        <v>0.1</v>
      </c>
      <c r="AU11" s="8">
        <v>14.1</v>
      </c>
    </row>
    <row r="12" spans="1:47" x14ac:dyDescent="0.25">
      <c r="A12" s="22" t="s">
        <v>14</v>
      </c>
      <c r="B12" s="8">
        <v>0.26349885236871101</v>
      </c>
      <c r="C12" s="8">
        <v>0.29808135396149116</v>
      </c>
      <c r="D12" s="8">
        <v>0</v>
      </c>
      <c r="E12" s="8">
        <v>0.84773830613323375</v>
      </c>
      <c r="G12" s="22" t="s">
        <v>14</v>
      </c>
      <c r="H12" s="8">
        <v>3.2000000000000001E-2</v>
      </c>
      <c r="I12" s="8">
        <v>0.128</v>
      </c>
      <c r="J12" s="8">
        <v>0</v>
      </c>
      <c r="K12" s="8">
        <v>0.3</v>
      </c>
      <c r="M12" s="22" t="s">
        <v>14</v>
      </c>
      <c r="N12" s="8">
        <v>1.7000000000000001E-2</v>
      </c>
      <c r="O12" s="8">
        <v>6.7000000000000004E-2</v>
      </c>
      <c r="P12" s="8">
        <v>0</v>
      </c>
      <c r="Q12" s="8">
        <v>0.1</v>
      </c>
      <c r="S12" s="22" t="s">
        <v>14</v>
      </c>
      <c r="T12" s="8">
        <v>1.7999999999999999E-2</v>
      </c>
      <c r="U12" s="8">
        <v>7.5999999999999998E-2</v>
      </c>
      <c r="V12" s="8">
        <v>0</v>
      </c>
      <c r="W12" s="8">
        <v>0.1</v>
      </c>
      <c r="Y12" s="22" t="s">
        <v>14</v>
      </c>
      <c r="Z12" s="8">
        <v>1.6180000000000001</v>
      </c>
      <c r="AA12" s="8">
        <v>2.3050000000000002</v>
      </c>
      <c r="AB12" s="8">
        <v>0</v>
      </c>
      <c r="AC12" s="8">
        <v>7.5</v>
      </c>
      <c r="AE12" s="22" t="s">
        <v>14</v>
      </c>
      <c r="AF12" s="8">
        <v>0.33300000000000002</v>
      </c>
      <c r="AG12" s="8">
        <v>1.0580000000000001</v>
      </c>
      <c r="AH12" s="8">
        <v>0</v>
      </c>
      <c r="AI12" s="8">
        <v>4.0999999999999996</v>
      </c>
      <c r="AK12" s="22" t="s">
        <v>14</v>
      </c>
      <c r="AL12" s="11">
        <v>5.8000000000000003E-2</v>
      </c>
      <c r="AM12" s="11">
        <v>0.26900000000000002</v>
      </c>
      <c r="AN12" s="11">
        <v>0</v>
      </c>
      <c r="AO12" s="11">
        <v>0.6</v>
      </c>
      <c r="AQ12" s="22" t="s">
        <v>14</v>
      </c>
      <c r="AR12" s="8">
        <v>0.56599999999999995</v>
      </c>
      <c r="AS12" s="8">
        <v>1.51</v>
      </c>
      <c r="AT12" s="8">
        <v>0</v>
      </c>
      <c r="AU12" s="8">
        <v>5.7</v>
      </c>
    </row>
    <row r="13" spans="1:47" x14ac:dyDescent="0.25">
      <c r="A13" s="22" t="s">
        <v>15</v>
      </c>
      <c r="B13" s="8">
        <v>1.6311800849902944</v>
      </c>
      <c r="C13" s="8">
        <v>0.73781030020823724</v>
      </c>
      <c r="D13" s="8">
        <v>0.1850718965821494</v>
      </c>
      <c r="E13" s="8">
        <v>3.0772882733984392</v>
      </c>
      <c r="G13" s="22" t="s">
        <v>15</v>
      </c>
      <c r="H13" s="8">
        <v>7.3999999999999996E-2</v>
      </c>
      <c r="I13" s="8">
        <v>0.17899999999999999</v>
      </c>
      <c r="J13" s="8">
        <v>0</v>
      </c>
      <c r="K13" s="8">
        <v>0.6</v>
      </c>
      <c r="M13" s="22" t="s">
        <v>15</v>
      </c>
      <c r="N13" s="8">
        <v>7.9000000000000001E-2</v>
      </c>
      <c r="O13" s="8">
        <v>0.19400000000000001</v>
      </c>
      <c r="P13" s="8">
        <v>0</v>
      </c>
      <c r="Q13" s="8">
        <v>0.6</v>
      </c>
      <c r="S13" s="22" t="s">
        <v>15</v>
      </c>
      <c r="T13" s="8">
        <v>9.1999999999999998E-2</v>
      </c>
      <c r="U13" s="8">
        <v>0.22800000000000001</v>
      </c>
      <c r="V13" s="8">
        <v>0</v>
      </c>
      <c r="W13" s="8">
        <v>0.8</v>
      </c>
      <c r="Y13" s="22" t="s">
        <v>15</v>
      </c>
      <c r="Z13" s="8">
        <v>0.70799999999999996</v>
      </c>
      <c r="AA13" s="8">
        <v>1.448</v>
      </c>
      <c r="AB13" s="8">
        <v>0</v>
      </c>
      <c r="AC13" s="8">
        <v>5.2</v>
      </c>
      <c r="AE13" s="22" t="s">
        <v>15</v>
      </c>
      <c r="AF13" s="8">
        <v>4.9829999999999997</v>
      </c>
      <c r="AG13" s="8">
        <v>3.8380000000000001</v>
      </c>
      <c r="AH13" s="8">
        <v>0</v>
      </c>
      <c r="AI13" s="8">
        <v>13.3</v>
      </c>
      <c r="AK13" s="22" t="s">
        <v>15</v>
      </c>
      <c r="AL13" s="11">
        <v>3.298</v>
      </c>
      <c r="AM13" s="11">
        <v>2.9630000000000001</v>
      </c>
      <c r="AN13" s="11">
        <v>0</v>
      </c>
      <c r="AO13" s="11">
        <v>9.9</v>
      </c>
      <c r="AQ13" s="22" t="s">
        <v>15</v>
      </c>
      <c r="AR13" s="8">
        <v>6.2110000000000003</v>
      </c>
      <c r="AS13" s="8">
        <v>3.403</v>
      </c>
      <c r="AT13" s="8">
        <v>0</v>
      </c>
      <c r="AU13" s="8">
        <v>13.2</v>
      </c>
    </row>
    <row r="14" spans="1:47" x14ac:dyDescent="0.25">
      <c r="A14" s="21" t="s">
        <v>105</v>
      </c>
      <c r="B14" s="8">
        <v>1.4004414957242539</v>
      </c>
      <c r="C14" s="8">
        <v>0.33206449169486207</v>
      </c>
      <c r="D14" s="8">
        <v>0.74959509200232421</v>
      </c>
      <c r="E14" s="8">
        <v>2.0512878994461836</v>
      </c>
      <c r="G14" s="21" t="s">
        <v>105</v>
      </c>
      <c r="H14" s="8">
        <v>4.3999999999999997E-2</v>
      </c>
      <c r="I14" s="8">
        <v>0.113</v>
      </c>
      <c r="J14" s="8">
        <v>0</v>
      </c>
      <c r="K14" s="8">
        <v>0.3</v>
      </c>
      <c r="M14" s="21" t="s">
        <v>105</v>
      </c>
      <c r="N14" s="8">
        <v>4.3999999999999997E-2</v>
      </c>
      <c r="O14" s="8">
        <v>0.114</v>
      </c>
      <c r="P14" s="8">
        <v>0</v>
      </c>
      <c r="Q14" s="8">
        <v>0.3</v>
      </c>
      <c r="S14" s="21" t="s">
        <v>105</v>
      </c>
      <c r="T14" s="8">
        <v>4.5999999999999999E-2</v>
      </c>
      <c r="U14" s="8">
        <v>0.123</v>
      </c>
      <c r="V14" s="8">
        <v>0</v>
      </c>
      <c r="W14" s="8">
        <v>0.3</v>
      </c>
      <c r="Y14" s="21" t="s">
        <v>105</v>
      </c>
      <c r="Z14" s="8">
        <v>1.3580000000000001</v>
      </c>
      <c r="AA14" s="8">
        <v>0.84799999999999998</v>
      </c>
      <c r="AB14" s="8">
        <v>0.2</v>
      </c>
      <c r="AC14" s="8">
        <v>3.3</v>
      </c>
      <c r="AE14" s="21" t="s">
        <v>105</v>
      </c>
      <c r="AF14" s="8">
        <v>3.375</v>
      </c>
      <c r="AG14" s="8">
        <v>1.4359999999999999</v>
      </c>
      <c r="AH14" s="8">
        <v>1.2</v>
      </c>
      <c r="AI14" s="8">
        <v>6.702</v>
      </c>
      <c r="AK14" s="21" t="s">
        <v>105</v>
      </c>
      <c r="AL14" s="11">
        <v>4.9740000000000002</v>
      </c>
      <c r="AM14" s="11">
        <v>1.867</v>
      </c>
      <c r="AN14" s="11">
        <v>1.9</v>
      </c>
      <c r="AO14" s="11">
        <v>9.1999999999999993</v>
      </c>
      <c r="AQ14" s="21" t="s">
        <v>105</v>
      </c>
      <c r="AR14" s="8">
        <v>2.528</v>
      </c>
      <c r="AS14" s="8">
        <v>1.29</v>
      </c>
      <c r="AT14" s="8">
        <v>0.6</v>
      </c>
      <c r="AU14" s="8">
        <v>5.6</v>
      </c>
    </row>
    <row r="15" spans="1:47" x14ac:dyDescent="0.25">
      <c r="A15" s="22" t="s">
        <v>17</v>
      </c>
      <c r="B15" s="8">
        <v>1.2335387860028331</v>
      </c>
      <c r="C15" s="8">
        <v>0.30629432207832086</v>
      </c>
      <c r="D15" s="8">
        <v>0.63320191472932419</v>
      </c>
      <c r="E15" s="8">
        <v>1.8338756572763419</v>
      </c>
      <c r="G15" s="22" t="s">
        <v>17</v>
      </c>
      <c r="H15" s="8">
        <v>3.1E-2</v>
      </c>
      <c r="I15" s="8">
        <v>8.7999999999999995E-2</v>
      </c>
      <c r="J15" s="8">
        <v>0</v>
      </c>
      <c r="K15" s="8">
        <v>0.2</v>
      </c>
      <c r="M15" s="22" t="s">
        <v>17</v>
      </c>
      <c r="N15" s="8">
        <v>3.2000000000000001E-2</v>
      </c>
      <c r="O15" s="8">
        <v>9.6000000000000002E-2</v>
      </c>
      <c r="P15" s="8">
        <v>0</v>
      </c>
      <c r="Q15" s="8">
        <v>0.2</v>
      </c>
      <c r="S15" s="22" t="s">
        <v>17</v>
      </c>
      <c r="T15" s="8">
        <v>3.1E-2</v>
      </c>
      <c r="U15" s="8">
        <v>9.4E-2</v>
      </c>
      <c r="V15" s="8">
        <v>0</v>
      </c>
      <c r="W15" s="8">
        <v>0.2</v>
      </c>
      <c r="Y15" s="22" t="s">
        <v>17</v>
      </c>
      <c r="Z15" s="8">
        <v>1.3380000000000001</v>
      </c>
      <c r="AA15" s="8">
        <v>0.84199999999999997</v>
      </c>
      <c r="AB15" s="8">
        <v>0.1</v>
      </c>
      <c r="AC15" s="8">
        <v>3.3</v>
      </c>
      <c r="AE15" s="22" t="s">
        <v>17</v>
      </c>
      <c r="AF15" s="8">
        <v>3.1150000000000002</v>
      </c>
      <c r="AG15" s="8">
        <v>1.3320000000000001</v>
      </c>
      <c r="AH15" s="8">
        <v>1.1000000000000001</v>
      </c>
      <c r="AI15" s="8">
        <v>6.3</v>
      </c>
      <c r="AK15" s="22" t="s">
        <v>17</v>
      </c>
      <c r="AL15" s="11">
        <v>3.9580000000000002</v>
      </c>
      <c r="AM15" s="11">
        <v>1.68</v>
      </c>
      <c r="AN15" s="11">
        <v>1.3</v>
      </c>
      <c r="AO15" s="11">
        <v>7.8</v>
      </c>
      <c r="AQ15" s="22" t="s">
        <v>17</v>
      </c>
      <c r="AR15" s="8">
        <v>2.5089999999999999</v>
      </c>
      <c r="AS15" s="8">
        <v>1.2809999999999999</v>
      </c>
      <c r="AT15" s="8">
        <v>0.6</v>
      </c>
      <c r="AU15" s="8">
        <v>5.6</v>
      </c>
    </row>
    <row r="16" spans="1:47" x14ac:dyDescent="0.25">
      <c r="A16" s="22" t="s">
        <v>18</v>
      </c>
      <c r="B16" s="8">
        <v>0.1695934158753476</v>
      </c>
      <c r="C16" s="8">
        <v>0.13560778066840745</v>
      </c>
      <c r="D16" s="8">
        <v>0</v>
      </c>
      <c r="E16" s="8">
        <v>0.43538466598542619</v>
      </c>
      <c r="G16" s="22" t="s">
        <v>18</v>
      </c>
      <c r="H16" s="8">
        <v>1.7999999999999999E-2</v>
      </c>
      <c r="I16" s="8">
        <v>7.8E-2</v>
      </c>
      <c r="J16" s="8">
        <v>0</v>
      </c>
      <c r="K16" s="8">
        <v>0.1</v>
      </c>
      <c r="M16" s="22" t="s">
        <v>18</v>
      </c>
      <c r="N16" s="8">
        <v>1.6E-2</v>
      </c>
      <c r="O16" s="8">
        <v>6.8000000000000005E-2</v>
      </c>
      <c r="P16" s="8">
        <v>0</v>
      </c>
      <c r="Q16" s="8">
        <v>0.1</v>
      </c>
      <c r="S16" s="22" t="s">
        <v>18</v>
      </c>
      <c r="T16" s="8">
        <v>1.7999999999999999E-2</v>
      </c>
      <c r="U16" s="8">
        <v>8.1000000000000003E-2</v>
      </c>
      <c r="V16" s="8">
        <v>0</v>
      </c>
      <c r="W16" s="8">
        <v>0.1</v>
      </c>
      <c r="Y16" s="22" t="s">
        <v>18</v>
      </c>
      <c r="Z16" s="8">
        <v>2.5999999999999999E-2</v>
      </c>
      <c r="AA16" s="8">
        <v>0.11899999999999999</v>
      </c>
      <c r="AB16" s="8">
        <v>0</v>
      </c>
      <c r="AC16" s="8">
        <v>0.2</v>
      </c>
      <c r="AE16" s="22" t="s">
        <v>18</v>
      </c>
      <c r="AF16" s="8">
        <v>0.26200000000000001</v>
      </c>
      <c r="AG16" s="8">
        <v>0.53900000000000003</v>
      </c>
      <c r="AH16" s="8">
        <v>0</v>
      </c>
      <c r="AI16" s="8">
        <v>1.9</v>
      </c>
      <c r="AK16" s="22" t="s">
        <v>18</v>
      </c>
      <c r="AL16" s="11">
        <v>1.008</v>
      </c>
      <c r="AM16" s="11">
        <v>0.89600000000000002</v>
      </c>
      <c r="AN16" s="11">
        <v>0</v>
      </c>
      <c r="AO16" s="11">
        <v>3.3</v>
      </c>
      <c r="AQ16" s="22" t="s">
        <v>18</v>
      </c>
      <c r="AR16" s="8">
        <v>2.5999999999999999E-2</v>
      </c>
      <c r="AS16" s="8">
        <v>0.111</v>
      </c>
      <c r="AT16" s="8">
        <v>0</v>
      </c>
      <c r="AU16" s="8">
        <v>0.2</v>
      </c>
    </row>
    <row r="17" spans="1:47" x14ac:dyDescent="0.25">
      <c r="A17" s="20" t="s">
        <v>41</v>
      </c>
      <c r="B17" s="8">
        <v>28.386717889932321</v>
      </c>
      <c r="C17" s="8">
        <v>1.074553877345835</v>
      </c>
      <c r="D17" s="8">
        <v>26.280592290334486</v>
      </c>
      <c r="E17" s="8">
        <v>30.492843489530156</v>
      </c>
      <c r="G17" s="20" t="s">
        <v>41</v>
      </c>
      <c r="H17" s="8">
        <v>0.73799999999999999</v>
      </c>
      <c r="I17" s="8">
        <v>0.81100000000000005</v>
      </c>
      <c r="J17" s="8">
        <v>0</v>
      </c>
      <c r="K17" s="8">
        <v>2.9</v>
      </c>
      <c r="M17" s="20" t="s">
        <v>41</v>
      </c>
      <c r="N17" s="8">
        <v>0.52</v>
      </c>
      <c r="O17" s="8">
        <v>0.77800000000000002</v>
      </c>
      <c r="P17" s="8">
        <v>0</v>
      </c>
      <c r="Q17" s="8">
        <v>2.7</v>
      </c>
      <c r="S17" s="20" t="s">
        <v>41</v>
      </c>
      <c r="T17" s="8">
        <v>1.357</v>
      </c>
      <c r="U17" s="8">
        <v>1.58</v>
      </c>
      <c r="V17" s="8">
        <v>0</v>
      </c>
      <c r="W17" s="8">
        <v>5.4</v>
      </c>
      <c r="Y17" s="20" t="s">
        <v>41</v>
      </c>
      <c r="Z17" s="8">
        <v>11.18</v>
      </c>
      <c r="AA17" s="8">
        <v>4.202</v>
      </c>
      <c r="AB17" s="8">
        <v>3.1</v>
      </c>
      <c r="AC17" s="8">
        <v>19.7</v>
      </c>
      <c r="AE17" s="20" t="s">
        <v>41</v>
      </c>
      <c r="AF17" s="8">
        <v>81.686999999999998</v>
      </c>
      <c r="AG17" s="8">
        <v>4.5670000000000002</v>
      </c>
      <c r="AH17" s="8">
        <v>72.2</v>
      </c>
      <c r="AI17" s="8">
        <v>89.7</v>
      </c>
      <c r="AK17" s="20" t="s">
        <v>41</v>
      </c>
      <c r="AL17" s="11">
        <v>79.587000000000003</v>
      </c>
      <c r="AM17" s="11">
        <v>4.6269999999999998</v>
      </c>
      <c r="AN17" s="11">
        <v>70.400000000000006</v>
      </c>
      <c r="AO17" s="11">
        <v>88.7</v>
      </c>
      <c r="AQ17" s="20" t="s">
        <v>41</v>
      </c>
      <c r="AR17" s="8">
        <v>85.385999999999996</v>
      </c>
      <c r="AS17" s="8">
        <v>3.9529999999999998</v>
      </c>
      <c r="AT17" s="8">
        <v>77.2</v>
      </c>
      <c r="AU17" s="8">
        <v>92.6</v>
      </c>
    </row>
    <row r="18" spans="1:47" x14ac:dyDescent="0.25">
      <c r="A18" s="20" t="s">
        <v>106</v>
      </c>
      <c r="B18" s="8">
        <v>3.0255070917055766</v>
      </c>
      <c r="C18" s="8">
        <v>0.77680623170707552</v>
      </c>
      <c r="D18" s="8">
        <v>1.5029668775597087</v>
      </c>
      <c r="E18" s="8">
        <v>4.5480473058514441</v>
      </c>
      <c r="G18" s="20" t="s">
        <v>106</v>
      </c>
      <c r="H18" s="8">
        <v>0.106</v>
      </c>
      <c r="I18" s="8">
        <v>0.20899999999999999</v>
      </c>
      <c r="J18" s="8">
        <v>0</v>
      </c>
      <c r="K18" s="8">
        <v>0.7</v>
      </c>
      <c r="M18" s="20" t="s">
        <v>106</v>
      </c>
      <c r="N18" s="8">
        <v>0.111</v>
      </c>
      <c r="O18" s="8">
        <v>0.222</v>
      </c>
      <c r="P18" s="8">
        <v>0</v>
      </c>
      <c r="Q18" s="8">
        <v>0.7</v>
      </c>
      <c r="S18" s="20" t="s">
        <v>106</v>
      </c>
      <c r="T18" s="8">
        <v>0.125</v>
      </c>
      <c r="U18" s="8">
        <v>0.25700000000000001</v>
      </c>
      <c r="V18" s="8">
        <v>0</v>
      </c>
      <c r="W18" s="8">
        <v>0.9</v>
      </c>
      <c r="Y18" s="20" t="s">
        <v>106</v>
      </c>
      <c r="Z18" s="8">
        <v>2.0590000000000002</v>
      </c>
      <c r="AA18" s="8">
        <v>1.671</v>
      </c>
      <c r="AB18" s="8">
        <v>0.2</v>
      </c>
      <c r="AC18" s="8">
        <v>6.8</v>
      </c>
      <c r="AE18" s="20" t="s">
        <v>106</v>
      </c>
      <c r="AF18" s="8">
        <v>8.3629999999999995</v>
      </c>
      <c r="AG18" s="8">
        <v>3.944</v>
      </c>
      <c r="AH18" s="8">
        <v>2.1</v>
      </c>
      <c r="AI18" s="8">
        <v>17</v>
      </c>
      <c r="AK18" s="20" t="s">
        <v>106</v>
      </c>
      <c r="AL18" s="11">
        <v>8.2750000000000004</v>
      </c>
      <c r="AM18" s="11">
        <v>3.3170000000000002</v>
      </c>
      <c r="AN18" s="11">
        <v>2.8</v>
      </c>
      <c r="AO18" s="11">
        <v>15.3</v>
      </c>
      <c r="AQ18" s="20" t="s">
        <v>106</v>
      </c>
      <c r="AR18" s="8">
        <v>8.7479999999999993</v>
      </c>
      <c r="AS18" s="8">
        <v>3.4820000000000002</v>
      </c>
      <c r="AT18" s="8">
        <v>2.2000000000000002</v>
      </c>
      <c r="AU18" s="8">
        <v>16</v>
      </c>
    </row>
    <row r="19" spans="1:47" x14ac:dyDescent="0.25">
      <c r="A19" s="20" t="s">
        <v>22</v>
      </c>
      <c r="B19" s="8">
        <v>12.970256485756257</v>
      </c>
      <c r="C19" s="8">
        <v>0.90545526558654055</v>
      </c>
      <c r="D19" s="8">
        <v>11.195564165206639</v>
      </c>
      <c r="E19" s="8">
        <v>14.744948806305876</v>
      </c>
      <c r="G19" s="20" t="s">
        <v>22</v>
      </c>
      <c r="H19" s="8">
        <v>0.24099999999999999</v>
      </c>
      <c r="I19" s="8">
        <v>0.41399999999999998</v>
      </c>
      <c r="J19" s="8">
        <v>0</v>
      </c>
      <c r="K19" s="8">
        <v>1.4</v>
      </c>
      <c r="M19" s="20" t="s">
        <v>22</v>
      </c>
      <c r="N19" s="8">
        <v>0.188</v>
      </c>
      <c r="O19" s="8">
        <v>0.318</v>
      </c>
      <c r="P19" s="8">
        <v>0</v>
      </c>
      <c r="Q19" s="8">
        <v>1.1000000000000001</v>
      </c>
      <c r="S19" s="20" t="s">
        <v>22</v>
      </c>
      <c r="T19" s="8">
        <v>0.26900000000000002</v>
      </c>
      <c r="U19" s="8">
        <v>0.47499999999999998</v>
      </c>
      <c r="V19" s="8">
        <v>0</v>
      </c>
      <c r="W19" s="8">
        <v>1.7</v>
      </c>
      <c r="Y19" s="20" t="s">
        <v>22</v>
      </c>
      <c r="Z19" s="8">
        <v>13.557</v>
      </c>
      <c r="AA19" s="8">
        <v>3.3130000000000002</v>
      </c>
      <c r="AB19" s="8">
        <v>7.7</v>
      </c>
      <c r="AC19" s="8">
        <v>20.7</v>
      </c>
      <c r="AE19" s="20" t="s">
        <v>22</v>
      </c>
      <c r="AF19" s="8">
        <v>46.622999999999998</v>
      </c>
      <c r="AG19" s="8">
        <v>4.2619999999999996</v>
      </c>
      <c r="AH19" s="8">
        <v>38.299999999999997</v>
      </c>
      <c r="AI19" s="8">
        <v>55</v>
      </c>
      <c r="AK19" s="20" t="s">
        <v>22</v>
      </c>
      <c r="AL19" s="11">
        <v>25.876000000000001</v>
      </c>
      <c r="AM19" s="11">
        <v>3.9580000000000002</v>
      </c>
      <c r="AN19" s="11">
        <v>18.5</v>
      </c>
      <c r="AO19" s="11">
        <v>33.9</v>
      </c>
      <c r="AQ19" s="20" t="s">
        <v>22</v>
      </c>
      <c r="AR19" s="8">
        <v>20.911999999999999</v>
      </c>
      <c r="AS19" s="8">
        <v>3.4620000000000002</v>
      </c>
      <c r="AT19" s="8">
        <v>14.4</v>
      </c>
      <c r="AU19" s="8">
        <v>28</v>
      </c>
    </row>
    <row r="20" spans="1:47" x14ac:dyDescent="0.25">
      <c r="A20" s="20" t="s">
        <v>42</v>
      </c>
      <c r="B20" s="8">
        <v>96.717504178689467</v>
      </c>
      <c r="C20" s="8">
        <v>0.81460439612091384</v>
      </c>
      <c r="D20" s="8">
        <v>95.120879562292473</v>
      </c>
      <c r="E20" s="8">
        <v>98.314128795086461</v>
      </c>
      <c r="G20" s="20" t="s">
        <v>42</v>
      </c>
      <c r="H20" s="8">
        <v>99.87</v>
      </c>
      <c r="I20" s="8">
        <v>0.24099999999999999</v>
      </c>
      <c r="J20" s="8">
        <v>99.1</v>
      </c>
      <c r="K20" s="8">
        <v>100</v>
      </c>
      <c r="M20" s="20" t="s">
        <v>42</v>
      </c>
      <c r="N20" s="8">
        <v>99.88</v>
      </c>
      <c r="O20" s="8">
        <v>0.22700000000000001</v>
      </c>
      <c r="P20" s="8">
        <v>99.2</v>
      </c>
      <c r="Q20" s="8">
        <v>100</v>
      </c>
      <c r="S20" s="20" t="s">
        <v>42</v>
      </c>
      <c r="T20" s="8">
        <v>99.864999999999995</v>
      </c>
      <c r="U20" s="8">
        <v>0.26400000000000001</v>
      </c>
      <c r="V20" s="8">
        <v>99</v>
      </c>
      <c r="W20" s="8">
        <v>100</v>
      </c>
      <c r="Y20" s="20" t="s">
        <v>42</v>
      </c>
      <c r="Z20" s="8">
        <v>96.322999999999993</v>
      </c>
      <c r="AA20" s="8">
        <v>2.65</v>
      </c>
      <c r="AB20" s="8">
        <v>89.9</v>
      </c>
      <c r="AC20" s="8">
        <v>99.5</v>
      </c>
      <c r="AE20" s="20" t="s">
        <v>42</v>
      </c>
      <c r="AF20" s="8">
        <v>91.308999999999997</v>
      </c>
      <c r="AG20" s="8">
        <v>4.0209999999999999</v>
      </c>
      <c r="AH20" s="8">
        <v>82.5</v>
      </c>
      <c r="AI20" s="8">
        <v>97.8</v>
      </c>
      <c r="AK20" s="20" t="s">
        <v>42</v>
      </c>
      <c r="AL20" s="11">
        <v>91.674999999999997</v>
      </c>
      <c r="AM20" s="11">
        <v>3.33</v>
      </c>
      <c r="AN20" s="11">
        <v>84.6</v>
      </c>
      <c r="AO20" s="11">
        <v>97.1</v>
      </c>
      <c r="AQ20" s="20" t="s">
        <v>42</v>
      </c>
      <c r="AR20" s="8">
        <v>90.69</v>
      </c>
      <c r="AS20" s="8">
        <v>3.5649999999999999</v>
      </c>
      <c r="AT20" s="8">
        <v>83.2</v>
      </c>
      <c r="AU20" s="8">
        <v>97.3</v>
      </c>
    </row>
    <row r="21" spans="1:47" x14ac:dyDescent="0.25">
      <c r="A21" s="20" t="s">
        <v>21</v>
      </c>
      <c r="B21" s="8">
        <v>3.2824958213105293</v>
      </c>
      <c r="C21" s="8">
        <v>0.81475276666276597</v>
      </c>
      <c r="D21" s="8">
        <v>1.6855803986515081</v>
      </c>
      <c r="E21" s="8">
        <v>4.8794112439695505</v>
      </c>
      <c r="G21" s="20" t="s">
        <v>21</v>
      </c>
      <c r="H21" s="8">
        <v>0.13</v>
      </c>
      <c r="I21" s="8">
        <v>0.24299999999999999</v>
      </c>
      <c r="J21" s="8">
        <v>0</v>
      </c>
      <c r="K21" s="8">
        <v>0.9</v>
      </c>
      <c r="M21" s="20" t="s">
        <v>21</v>
      </c>
      <c r="N21" s="8">
        <v>0.12</v>
      </c>
      <c r="O21" s="8">
        <v>0.23</v>
      </c>
      <c r="P21" s="8">
        <v>0</v>
      </c>
      <c r="Q21" s="8">
        <v>0.8</v>
      </c>
      <c r="S21" s="20" t="s">
        <v>21</v>
      </c>
      <c r="T21" s="8">
        <v>0.13500000000000001</v>
      </c>
      <c r="U21" s="8">
        <v>0.26600000000000001</v>
      </c>
      <c r="V21" s="8">
        <v>0</v>
      </c>
      <c r="W21" s="8">
        <v>0.9</v>
      </c>
      <c r="Y21" s="20" t="s">
        <v>21</v>
      </c>
      <c r="Z21" s="8">
        <v>3.677</v>
      </c>
      <c r="AA21" s="8">
        <v>2.65</v>
      </c>
      <c r="AB21" s="8">
        <v>0.4</v>
      </c>
      <c r="AC21" s="8">
        <v>10</v>
      </c>
      <c r="AE21" s="20" t="s">
        <v>21</v>
      </c>
      <c r="AF21" s="8">
        <v>8.6910000000000007</v>
      </c>
      <c r="AG21" s="8">
        <v>4.0220000000000002</v>
      </c>
      <c r="AH21" s="8">
        <v>2.2000000000000002</v>
      </c>
      <c r="AI21" s="8">
        <v>17.5</v>
      </c>
      <c r="AK21" s="20" t="s">
        <v>21</v>
      </c>
      <c r="AL21" s="11">
        <v>8.3249999999999993</v>
      </c>
      <c r="AM21" s="11">
        <v>3.3290000000000002</v>
      </c>
      <c r="AN21" s="11">
        <v>2.9</v>
      </c>
      <c r="AO21" s="11">
        <v>15.302</v>
      </c>
      <c r="AQ21" s="20" t="s">
        <v>21</v>
      </c>
      <c r="AR21" s="8">
        <v>9.31</v>
      </c>
      <c r="AS21" s="8">
        <v>3.5649999999999999</v>
      </c>
      <c r="AT21" s="8">
        <v>2.7</v>
      </c>
      <c r="AU21" s="8">
        <v>16.7</v>
      </c>
    </row>
    <row r="25" spans="1:47" x14ac:dyDescent="0.25">
      <c r="A25" s="5" t="s">
        <v>286</v>
      </c>
      <c r="G25" s="16" t="s">
        <v>195</v>
      </c>
    </row>
    <row r="26" spans="1:47" x14ac:dyDescent="0.25">
      <c r="A26" t="s">
        <v>64</v>
      </c>
      <c r="B26" s="7" t="s">
        <v>65</v>
      </c>
      <c r="C26" s="7" t="s">
        <v>34</v>
      </c>
      <c r="D26" s="14" t="s">
        <v>111</v>
      </c>
      <c r="E26" s="14"/>
      <c r="G26" s="16" t="s">
        <v>196</v>
      </c>
    </row>
    <row r="27" spans="1:47" x14ac:dyDescent="0.25">
      <c r="A27" s="20" t="s">
        <v>9</v>
      </c>
      <c r="B27" s="8">
        <v>99.022342089366447</v>
      </c>
      <c r="C27" s="8">
        <v>0.65526864776245874</v>
      </c>
      <c r="D27" s="8">
        <v>97.738015539752027</v>
      </c>
      <c r="E27" s="8">
        <v>100</v>
      </c>
      <c r="G27" s="17" t="s">
        <v>197</v>
      </c>
    </row>
    <row r="28" spans="1:47" x14ac:dyDescent="0.25">
      <c r="A28" s="21" t="s">
        <v>10</v>
      </c>
      <c r="B28" s="8">
        <v>76.166763706090165</v>
      </c>
      <c r="C28" s="8">
        <v>3.6335829539525846</v>
      </c>
      <c r="D28" s="8">
        <v>69.044941116343097</v>
      </c>
      <c r="E28" s="8">
        <v>83.288586295837234</v>
      </c>
      <c r="G28" s="18" t="s">
        <v>198</v>
      </c>
    </row>
    <row r="29" spans="1:47" x14ac:dyDescent="0.25">
      <c r="A29" s="21" t="s">
        <v>101</v>
      </c>
      <c r="B29" s="8">
        <v>22.80856577092753</v>
      </c>
      <c r="C29" s="8">
        <v>3.6605006341789004</v>
      </c>
      <c r="D29" s="8">
        <v>15.633984527936885</v>
      </c>
      <c r="E29" s="8">
        <v>29.983147013918174</v>
      </c>
      <c r="G29" s="18" t="s">
        <v>199</v>
      </c>
    </row>
    <row r="30" spans="1:47" x14ac:dyDescent="0.25">
      <c r="A30" s="22" t="s">
        <v>126</v>
      </c>
      <c r="B30" s="8">
        <v>21.960915781910707</v>
      </c>
      <c r="C30" s="8">
        <v>3.8774437602008245</v>
      </c>
      <c r="D30" s="8">
        <v>14.36112601191709</v>
      </c>
      <c r="E30" s="8">
        <v>29.560705551904324</v>
      </c>
      <c r="G30" s="18" t="s">
        <v>214</v>
      </c>
    </row>
    <row r="31" spans="1:47" x14ac:dyDescent="0.25">
      <c r="A31" s="22" t="s">
        <v>103</v>
      </c>
      <c r="B31" s="8">
        <v>0.8402836794559666</v>
      </c>
      <c r="C31" s="8">
        <v>0.9855093037726792</v>
      </c>
      <c r="D31" s="8">
        <v>0</v>
      </c>
      <c r="E31" s="8">
        <v>2.7718819148504177</v>
      </c>
      <c r="G31" s="16" t="s">
        <v>201</v>
      </c>
    </row>
    <row r="32" spans="1:47" x14ac:dyDescent="0.25">
      <c r="A32" s="20" t="s">
        <v>11</v>
      </c>
      <c r="B32" s="8">
        <v>0.97765791063354635</v>
      </c>
      <c r="C32" s="8">
        <v>0.65526864776245874</v>
      </c>
      <c r="D32" s="8">
        <v>0</v>
      </c>
      <c r="E32" s="8">
        <v>2.2619844602479655</v>
      </c>
      <c r="G32" s="16" t="s">
        <v>202</v>
      </c>
    </row>
    <row r="33" spans="1:7" x14ac:dyDescent="0.25">
      <c r="A33" s="21" t="s">
        <v>103</v>
      </c>
      <c r="B33" s="8">
        <v>0.75782676783393432</v>
      </c>
      <c r="C33" s="8">
        <v>0.61692612780701539</v>
      </c>
      <c r="D33" s="8">
        <v>0</v>
      </c>
      <c r="E33" s="8">
        <v>1.9670019783356845</v>
      </c>
      <c r="G33" s="16" t="s">
        <v>203</v>
      </c>
    </row>
    <row r="34" spans="1:7" x14ac:dyDescent="0.25">
      <c r="A34" s="21" t="s">
        <v>38</v>
      </c>
      <c r="B34" s="8">
        <v>0.12238292390488567</v>
      </c>
      <c r="C34" s="8">
        <v>0.18680271847289537</v>
      </c>
      <c r="D34" s="8">
        <v>0</v>
      </c>
      <c r="E34" s="8">
        <v>0.48851625211176064</v>
      </c>
      <c r="G34" s="16" t="s">
        <v>204</v>
      </c>
    </row>
    <row r="35" spans="1:7" x14ac:dyDescent="0.25">
      <c r="A35" s="21" t="s">
        <v>104</v>
      </c>
      <c r="B35" s="8">
        <v>9.8189102857456662E-2</v>
      </c>
      <c r="C35" s="8">
        <v>0.12679288025968771</v>
      </c>
      <c r="D35" s="8">
        <v>0</v>
      </c>
      <c r="E35" s="8">
        <v>0.34670314816644454</v>
      </c>
      <c r="G35" s="16" t="s">
        <v>205</v>
      </c>
    </row>
    <row r="36" spans="1:7" x14ac:dyDescent="0.25">
      <c r="A36" s="22" t="s">
        <v>14</v>
      </c>
      <c r="B36" s="8">
        <v>2.2232374288381627E-2</v>
      </c>
      <c r="C36" s="8">
        <v>5.3919599435157381E-2</v>
      </c>
      <c r="D36" s="8">
        <v>0</v>
      </c>
      <c r="E36" s="8">
        <v>0.1279147891812901</v>
      </c>
      <c r="G36" s="16" t="s">
        <v>206</v>
      </c>
    </row>
    <row r="37" spans="1:7" x14ac:dyDescent="0.25">
      <c r="A37" s="22" t="s">
        <v>15</v>
      </c>
      <c r="B37" s="8">
        <v>8.1629773105859532E-2</v>
      </c>
      <c r="C37" s="8">
        <v>0.1161849880523633</v>
      </c>
      <c r="D37" s="8">
        <v>0</v>
      </c>
      <c r="E37" s="8">
        <v>0.30935234968849157</v>
      </c>
      <c r="G37" s="16" t="s">
        <v>207</v>
      </c>
    </row>
    <row r="38" spans="1:7" x14ac:dyDescent="0.25">
      <c r="A38" s="21" t="s">
        <v>105</v>
      </c>
      <c r="B38" s="8">
        <v>4.4656084680298011E-2</v>
      </c>
      <c r="C38" s="8">
        <v>6.7379015085833174E-2</v>
      </c>
      <c r="D38" s="8">
        <v>0</v>
      </c>
      <c r="E38" s="8">
        <v>0.17671895424853101</v>
      </c>
      <c r="G38" s="16" t="s">
        <v>208</v>
      </c>
    </row>
    <row r="39" spans="1:7" x14ac:dyDescent="0.25">
      <c r="A39" s="22" t="s">
        <v>17</v>
      </c>
      <c r="B39" s="8">
        <v>3.1345002196635482E-2</v>
      </c>
      <c r="C39" s="8">
        <v>5.362498168694594E-2</v>
      </c>
      <c r="D39" s="8">
        <v>0</v>
      </c>
      <c r="E39" s="8">
        <v>0.13644996630304951</v>
      </c>
      <c r="G39" s="16" t="s">
        <v>209</v>
      </c>
    </row>
    <row r="40" spans="1:7" x14ac:dyDescent="0.25">
      <c r="A40" s="22" t="s">
        <v>18</v>
      </c>
      <c r="B40" s="8">
        <v>1.7309995606729026E-2</v>
      </c>
      <c r="C40" s="8">
        <v>4.3666901836663961E-2</v>
      </c>
      <c r="D40" s="8">
        <v>0</v>
      </c>
      <c r="E40" s="8">
        <v>0.10289712320659039</v>
      </c>
      <c r="G40" s="16" t="s">
        <v>210</v>
      </c>
    </row>
    <row r="41" spans="1:7" x14ac:dyDescent="0.25">
      <c r="A41" s="20" t="s">
        <v>41</v>
      </c>
      <c r="B41" s="8">
        <v>0.86584772968569812</v>
      </c>
      <c r="C41" s="8">
        <v>0.64109061612576101</v>
      </c>
      <c r="D41" s="8">
        <v>0</v>
      </c>
      <c r="E41" s="8">
        <v>2.1223853372921897</v>
      </c>
      <c r="G41" s="16" t="s">
        <v>211</v>
      </c>
    </row>
    <row r="42" spans="1:7" x14ac:dyDescent="0.25">
      <c r="A42" s="20" t="s">
        <v>106</v>
      </c>
      <c r="B42" s="8">
        <v>0.11395781544600853</v>
      </c>
      <c r="C42" s="8">
        <v>0.13282788295413606</v>
      </c>
      <c r="D42" s="8">
        <v>0</v>
      </c>
      <c r="E42" s="8">
        <v>0.37430046603611516</v>
      </c>
      <c r="G42" s="16" t="s">
        <v>212</v>
      </c>
    </row>
    <row r="43" spans="1:7" x14ac:dyDescent="0.25">
      <c r="A43" s="20" t="s">
        <v>22</v>
      </c>
      <c r="B43" s="8">
        <v>0.23190006910249134</v>
      </c>
      <c r="C43" s="8">
        <v>0.23374891551574201</v>
      </c>
      <c r="D43" s="8">
        <v>0</v>
      </c>
      <c r="E43" s="8">
        <v>0.69004794351334564</v>
      </c>
      <c r="G43" s="19" t="s">
        <v>213</v>
      </c>
    </row>
    <row r="44" spans="1:7" x14ac:dyDescent="0.25">
      <c r="A44" s="20" t="s">
        <v>42</v>
      </c>
      <c r="B44" s="8">
        <v>99.871809810265603</v>
      </c>
      <c r="C44" s="8">
        <v>0.14086262587071538</v>
      </c>
      <c r="D44" s="8">
        <v>99.595719063559002</v>
      </c>
      <c r="E44" s="8">
        <v>100</v>
      </c>
    </row>
    <row r="45" spans="1:7" x14ac:dyDescent="0.25">
      <c r="A45" s="20" t="s">
        <v>21</v>
      </c>
      <c r="B45" s="8">
        <v>0.12819018973439017</v>
      </c>
      <c r="C45" s="8">
        <v>0.1422076379195929</v>
      </c>
      <c r="D45" s="8">
        <v>0</v>
      </c>
      <c r="E45" s="8">
        <v>0.40691716005679224</v>
      </c>
    </row>
    <row r="49" spans="1:5" x14ac:dyDescent="0.25">
      <c r="A49" s="5" t="s">
        <v>276</v>
      </c>
    </row>
    <row r="50" spans="1:5" x14ac:dyDescent="0.25">
      <c r="A50" t="s">
        <v>64</v>
      </c>
      <c r="B50" s="7" t="s">
        <v>65</v>
      </c>
      <c r="C50" s="7" t="s">
        <v>34</v>
      </c>
      <c r="D50" s="14" t="s">
        <v>111</v>
      </c>
      <c r="E50" s="14"/>
    </row>
    <row r="51" spans="1:5" x14ac:dyDescent="0.25">
      <c r="A51" s="20" t="s">
        <v>9</v>
      </c>
      <c r="B51" s="8">
        <v>27.122739167445179</v>
      </c>
      <c r="C51" s="8">
        <v>1.5974433144573017</v>
      </c>
      <c r="D51" s="8">
        <v>23.991750271108867</v>
      </c>
      <c r="E51" s="8">
        <v>30.253728063781491</v>
      </c>
    </row>
    <row r="52" spans="1:5" x14ac:dyDescent="0.25">
      <c r="A52" s="21" t="s">
        <v>10</v>
      </c>
      <c r="B52" s="8">
        <v>13.0382711396155</v>
      </c>
      <c r="C52" s="8">
        <v>1.5011727547097269</v>
      </c>
      <c r="D52" s="8">
        <v>10.095972540384434</v>
      </c>
      <c r="E52" s="8">
        <v>15.980569738846565</v>
      </c>
    </row>
    <row r="53" spans="1:5" x14ac:dyDescent="0.25">
      <c r="A53" s="21" t="s">
        <v>101</v>
      </c>
      <c r="B53" s="8">
        <v>14.078146972416169</v>
      </c>
      <c r="C53" s="8">
        <v>1.9334823305416</v>
      </c>
      <c r="D53" s="8">
        <v>10.288521604554633</v>
      </c>
      <c r="E53" s="8">
        <v>17.867772340277703</v>
      </c>
    </row>
    <row r="54" spans="1:5" x14ac:dyDescent="0.25">
      <c r="A54" s="22" t="s">
        <v>126</v>
      </c>
      <c r="B54" s="8">
        <v>13.132567880937163</v>
      </c>
      <c r="C54" s="8">
        <v>2.1521682935698792</v>
      </c>
      <c r="D54" s="8">
        <v>8.9143180255402008</v>
      </c>
      <c r="E54" s="8">
        <v>17.350817736334125</v>
      </c>
    </row>
    <row r="55" spans="1:5" x14ac:dyDescent="0.25">
      <c r="A55" s="22" t="s">
        <v>103</v>
      </c>
      <c r="B55" s="8">
        <v>0.95366381588651794</v>
      </c>
      <c r="C55" s="8">
        <v>1.0396461990300974</v>
      </c>
      <c r="D55" s="8">
        <v>0</v>
      </c>
      <c r="E55" s="8">
        <v>2.9913703659855089</v>
      </c>
    </row>
    <row r="56" spans="1:5" x14ac:dyDescent="0.25">
      <c r="A56" s="20" t="s">
        <v>11</v>
      </c>
      <c r="B56" s="8">
        <v>72.877260832554825</v>
      </c>
      <c r="C56" s="8">
        <v>1.5974636036878951</v>
      </c>
      <c r="D56" s="8">
        <v>69.746232169326547</v>
      </c>
      <c r="E56" s="8">
        <v>76.008289495783103</v>
      </c>
    </row>
    <row r="57" spans="1:5" x14ac:dyDescent="0.25">
      <c r="A57" s="21" t="s">
        <v>103</v>
      </c>
      <c r="B57" s="8">
        <v>42.80100291941195</v>
      </c>
      <c r="C57" s="8">
        <v>2.0225148946528408</v>
      </c>
      <c r="D57" s="8">
        <v>38.836873725892382</v>
      </c>
      <c r="E57" s="8">
        <v>46.765132112931518</v>
      </c>
    </row>
    <row r="58" spans="1:5" x14ac:dyDescent="0.25">
      <c r="A58" s="21" t="s">
        <v>38</v>
      </c>
      <c r="B58" s="8">
        <v>22.552598365743922</v>
      </c>
      <c r="C58" s="8">
        <v>2.3997383033540096</v>
      </c>
      <c r="D58" s="8">
        <v>17.849111291170061</v>
      </c>
      <c r="E58" s="8">
        <v>27.256085440317783</v>
      </c>
    </row>
    <row r="59" spans="1:5" x14ac:dyDescent="0.25">
      <c r="A59" s="21" t="s">
        <v>104</v>
      </c>
      <c r="B59" s="8">
        <v>4.2935728316451964</v>
      </c>
      <c r="C59" s="8">
        <v>1.8217985166996016</v>
      </c>
      <c r="D59" s="8">
        <v>0.72284773891397736</v>
      </c>
      <c r="E59" s="8">
        <v>7.8642979243764159</v>
      </c>
    </row>
    <row r="60" spans="1:5" x14ac:dyDescent="0.25">
      <c r="A60" s="22" t="s">
        <v>14</v>
      </c>
      <c r="B60" s="8">
        <v>0.58752644679909527</v>
      </c>
      <c r="C60" s="8">
        <v>0.6946485312178744</v>
      </c>
      <c r="D60" s="8">
        <v>0</v>
      </c>
      <c r="E60" s="8">
        <v>1.9490375679861291</v>
      </c>
    </row>
    <row r="61" spans="1:5" x14ac:dyDescent="0.25">
      <c r="A61" s="22" t="s">
        <v>15</v>
      </c>
      <c r="B61" s="8">
        <v>3.7122692773379882</v>
      </c>
      <c r="C61" s="8">
        <v>1.7216533084120538</v>
      </c>
      <c r="D61" s="8">
        <v>0.33782879285036271</v>
      </c>
      <c r="E61" s="8">
        <v>7.0867097618256132</v>
      </c>
    </row>
    <row r="62" spans="1:5" x14ac:dyDescent="0.25">
      <c r="A62" s="21" t="s">
        <v>105</v>
      </c>
      <c r="B62" s="8">
        <v>3.2212990338283021</v>
      </c>
      <c r="C62" s="8">
        <v>0.77275595889082549</v>
      </c>
      <c r="D62" s="8">
        <v>1.7066973544022841</v>
      </c>
      <c r="E62" s="8">
        <v>4.7359007132543205</v>
      </c>
    </row>
    <row r="63" spans="1:5" x14ac:dyDescent="0.25">
      <c r="A63" s="22" t="s">
        <v>17</v>
      </c>
      <c r="B63" s="8">
        <v>2.8481184943209756</v>
      </c>
      <c r="C63" s="8">
        <v>0.71403322739785458</v>
      </c>
      <c r="D63" s="8">
        <v>1.4486133686211806</v>
      </c>
      <c r="E63" s="8">
        <v>4.2476236200207707</v>
      </c>
    </row>
    <row r="64" spans="1:5" x14ac:dyDescent="0.25">
      <c r="A64" s="22" t="s">
        <v>18</v>
      </c>
      <c r="B64" s="8">
        <v>0.37411428729471929</v>
      </c>
      <c r="C64" s="8">
        <v>0.31227359373368629</v>
      </c>
      <c r="D64" s="8">
        <v>0</v>
      </c>
      <c r="E64" s="8">
        <v>0.98617053101274443</v>
      </c>
    </row>
    <row r="65" spans="1:5" x14ac:dyDescent="0.25">
      <c r="A65" s="20" t="s">
        <v>41</v>
      </c>
      <c r="B65" s="8">
        <v>65.348012412110336</v>
      </c>
      <c r="C65" s="8">
        <v>2.3659113371053655</v>
      </c>
      <c r="D65" s="8">
        <v>60.710826191383816</v>
      </c>
      <c r="E65" s="8">
        <v>69.985198632836855</v>
      </c>
    </row>
    <row r="66" spans="1:5" x14ac:dyDescent="0.25">
      <c r="A66" s="20" t="s">
        <v>106</v>
      </c>
      <c r="B66" s="8">
        <v>6.9357987972022812</v>
      </c>
      <c r="C66" s="8">
        <v>1.8113151678185544</v>
      </c>
      <c r="D66" s="8">
        <v>3.3856210682779149</v>
      </c>
      <c r="E66" s="8">
        <v>10.485976526126647</v>
      </c>
    </row>
    <row r="67" spans="1:5" x14ac:dyDescent="0.25">
      <c r="A67" s="20" t="s">
        <v>22</v>
      </c>
      <c r="B67" s="8">
        <v>30.078223657685122</v>
      </c>
      <c r="C67" s="8">
        <v>2.0981512352994796</v>
      </c>
      <c r="D67" s="8">
        <v>25.965847236498142</v>
      </c>
      <c r="E67" s="8">
        <v>34.190600078872102</v>
      </c>
    </row>
    <row r="68" spans="1:5" x14ac:dyDescent="0.25">
      <c r="A68" s="20" t="s">
        <v>42</v>
      </c>
      <c r="B68" s="8">
        <v>92.481183932171305</v>
      </c>
      <c r="C68" s="8">
        <v>1.8992418485905616</v>
      </c>
      <c r="D68" s="8">
        <v>88.758669908933811</v>
      </c>
      <c r="E68" s="8">
        <v>96.203697955408799</v>
      </c>
    </row>
    <row r="69" spans="1:5" x14ac:dyDescent="0.25">
      <c r="A69" s="20" t="s">
        <v>21</v>
      </c>
      <c r="B69" s="8">
        <v>7.5188160678286948</v>
      </c>
      <c r="C69" s="8">
        <v>1.899410437201515</v>
      </c>
      <c r="D69" s="8">
        <v>3.7959716109137256</v>
      </c>
      <c r="E69" s="8">
        <v>11.241660524743665</v>
      </c>
    </row>
  </sheetData>
  <mergeCells count="10">
    <mergeCell ref="AB2:AC2"/>
    <mergeCell ref="AH2:AI2"/>
    <mergeCell ref="AN2:AO2"/>
    <mergeCell ref="AT2:AU2"/>
    <mergeCell ref="D2:E2"/>
    <mergeCell ref="D26:E26"/>
    <mergeCell ref="D50:E50"/>
    <mergeCell ref="J2:K2"/>
    <mergeCell ref="P2:Q2"/>
    <mergeCell ref="V2:W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A0887-8A03-43DB-B62D-65CB001D3DBE}">
  <dimension ref="A1:AU69"/>
  <sheetViews>
    <sheetView workbookViewId="0">
      <selection activeCell="AV27" sqref="AV27"/>
    </sheetView>
  </sheetViews>
  <sheetFormatPr defaultRowHeight="15" x14ac:dyDescent="0.25"/>
  <cols>
    <col min="1" max="1" width="21.42578125" customWidth="1"/>
  </cols>
  <sheetData>
    <row r="1" spans="1:47" x14ac:dyDescent="0.25">
      <c r="A1" s="5" t="s">
        <v>285</v>
      </c>
      <c r="G1" s="12" t="s">
        <v>293</v>
      </c>
      <c r="I1" s="12" t="s">
        <v>110</v>
      </c>
      <c r="M1" s="12" t="s">
        <v>294</v>
      </c>
      <c r="O1" s="12" t="s">
        <v>110</v>
      </c>
      <c r="S1" s="12" t="s">
        <v>295</v>
      </c>
      <c r="U1" s="12" t="s">
        <v>110</v>
      </c>
      <c r="Y1" s="12" t="s">
        <v>296</v>
      </c>
      <c r="AA1" s="12" t="s">
        <v>110</v>
      </c>
      <c r="AE1" s="12" t="s">
        <v>297</v>
      </c>
      <c r="AG1" s="12" t="s">
        <v>110</v>
      </c>
      <c r="AK1" s="12" t="s">
        <v>298</v>
      </c>
      <c r="AM1" s="12" t="s">
        <v>110</v>
      </c>
      <c r="AQ1" s="12" t="s">
        <v>272</v>
      </c>
      <c r="AS1" s="12" t="s">
        <v>167</v>
      </c>
    </row>
    <row r="2" spans="1:47" x14ac:dyDescent="0.25">
      <c r="A2" t="s">
        <v>64</v>
      </c>
      <c r="B2" s="7" t="s">
        <v>65</v>
      </c>
      <c r="C2" s="7" t="s">
        <v>34</v>
      </c>
      <c r="D2" s="14" t="s">
        <v>111</v>
      </c>
      <c r="E2" s="14"/>
      <c r="G2" t="s">
        <v>64</v>
      </c>
      <c r="H2" s="7" t="s">
        <v>65</v>
      </c>
      <c r="I2" s="7" t="s">
        <v>34</v>
      </c>
      <c r="J2" s="14" t="s">
        <v>111</v>
      </c>
      <c r="K2" s="14"/>
      <c r="M2" t="s">
        <v>64</v>
      </c>
      <c r="N2" s="7" t="s">
        <v>65</v>
      </c>
      <c r="O2" s="7" t="s">
        <v>34</v>
      </c>
      <c r="P2" s="14" t="s">
        <v>111</v>
      </c>
      <c r="Q2" s="14"/>
      <c r="S2" t="s">
        <v>64</v>
      </c>
      <c r="T2" s="7" t="s">
        <v>65</v>
      </c>
      <c r="U2" s="7" t="s">
        <v>34</v>
      </c>
      <c r="V2" s="14" t="s">
        <v>111</v>
      </c>
      <c r="W2" s="14"/>
      <c r="Y2" t="s">
        <v>64</v>
      </c>
      <c r="Z2" s="7" t="s">
        <v>65</v>
      </c>
      <c r="AA2" s="7" t="s">
        <v>34</v>
      </c>
      <c r="AB2" s="14" t="s">
        <v>111</v>
      </c>
      <c r="AC2" s="14"/>
      <c r="AE2" t="s">
        <v>64</v>
      </c>
      <c r="AF2" s="7" t="s">
        <v>65</v>
      </c>
      <c r="AG2" s="7" t="s">
        <v>34</v>
      </c>
      <c r="AH2" s="14" t="s">
        <v>111</v>
      </c>
      <c r="AI2" s="14"/>
      <c r="AK2" t="s">
        <v>64</v>
      </c>
      <c r="AL2" s="7" t="s">
        <v>65</v>
      </c>
      <c r="AM2" s="7" t="s">
        <v>34</v>
      </c>
      <c r="AN2" s="14" t="s">
        <v>111</v>
      </c>
      <c r="AO2" s="14"/>
      <c r="AQ2" t="s">
        <v>64</v>
      </c>
      <c r="AR2" s="7" t="s">
        <v>65</v>
      </c>
      <c r="AS2" s="7" t="s">
        <v>34</v>
      </c>
      <c r="AT2" s="14" t="s">
        <v>111</v>
      </c>
      <c r="AU2" s="14"/>
    </row>
    <row r="3" spans="1:47" x14ac:dyDescent="0.25">
      <c r="A3" s="20" t="s">
        <v>9</v>
      </c>
      <c r="B3" s="8">
        <v>75.273163439654269</v>
      </c>
      <c r="C3" s="8">
        <v>0.7073914985880001</v>
      </c>
      <c r="D3" s="8">
        <v>73.886676102421788</v>
      </c>
      <c r="E3" s="8">
        <v>76.65965077688675</v>
      </c>
      <c r="G3" s="20" t="s">
        <v>9</v>
      </c>
      <c r="H3" s="8">
        <v>99.608999999999995</v>
      </c>
      <c r="I3" s="8">
        <v>0.503</v>
      </c>
      <c r="J3" s="8">
        <v>98.2</v>
      </c>
      <c r="K3" s="8">
        <v>100</v>
      </c>
      <c r="M3" s="20" t="s">
        <v>9</v>
      </c>
      <c r="N3" s="8">
        <v>99.591999999999999</v>
      </c>
      <c r="O3" s="8">
        <v>0.55500000000000005</v>
      </c>
      <c r="P3" s="8">
        <v>98</v>
      </c>
      <c r="Q3" s="8">
        <v>100</v>
      </c>
      <c r="S3" s="20" t="s">
        <v>9</v>
      </c>
      <c r="T3" s="8">
        <v>97.355000000000004</v>
      </c>
      <c r="U3" s="8">
        <v>1.8560000000000001</v>
      </c>
      <c r="V3" s="8">
        <v>93.1</v>
      </c>
      <c r="W3" s="8">
        <v>99.9</v>
      </c>
      <c r="Y3" s="20" t="s">
        <v>9</v>
      </c>
      <c r="Z3" s="8">
        <v>72.811000000000007</v>
      </c>
      <c r="AA3" s="8">
        <v>4.0410000000000004</v>
      </c>
      <c r="AB3" s="8">
        <v>64.8</v>
      </c>
      <c r="AC3" s="8">
        <v>80.5</v>
      </c>
      <c r="AE3" s="20" t="s">
        <v>9</v>
      </c>
      <c r="AF3" s="8">
        <v>9.8740000000000006</v>
      </c>
      <c r="AG3" s="8">
        <v>2.6859999999999999</v>
      </c>
      <c r="AH3" s="8">
        <v>5.3</v>
      </c>
      <c r="AI3" s="8">
        <v>15.6</v>
      </c>
      <c r="AK3" s="20" t="s">
        <v>9</v>
      </c>
      <c r="AL3" s="8">
        <v>4.5069999999999997</v>
      </c>
      <c r="AM3" s="8">
        <v>2.1739999999999999</v>
      </c>
      <c r="AN3" s="8">
        <v>0.9</v>
      </c>
      <c r="AO3" s="8">
        <v>9.3000000000000007</v>
      </c>
      <c r="AQ3" s="20" t="s">
        <v>9</v>
      </c>
      <c r="AR3" s="8">
        <v>4.5609999999999999</v>
      </c>
      <c r="AS3" s="8">
        <v>2.2069999999999999</v>
      </c>
      <c r="AT3" s="8">
        <v>1.2</v>
      </c>
      <c r="AU3" s="8">
        <v>9.6</v>
      </c>
    </row>
    <row r="4" spans="1:47" x14ac:dyDescent="0.25">
      <c r="A4" s="21" t="s">
        <v>10</v>
      </c>
      <c r="B4" s="8">
        <v>58.782351846583438</v>
      </c>
      <c r="C4" s="8">
        <v>2.8878682886397962</v>
      </c>
      <c r="D4" s="8">
        <v>53.122130000849438</v>
      </c>
      <c r="E4" s="8">
        <v>64.442573692317438</v>
      </c>
      <c r="G4" s="21" t="s">
        <v>10</v>
      </c>
      <c r="H4" s="8">
        <v>92.899000000000001</v>
      </c>
      <c r="I4" s="8">
        <v>6.9379999999999997</v>
      </c>
      <c r="J4" s="8">
        <v>77.7</v>
      </c>
      <c r="K4" s="8">
        <v>99.9</v>
      </c>
      <c r="M4" s="21" t="s">
        <v>10</v>
      </c>
      <c r="N4" s="8">
        <v>88.471000000000004</v>
      </c>
      <c r="O4" s="8">
        <v>7.1689999999999996</v>
      </c>
      <c r="P4" s="8">
        <v>74.7</v>
      </c>
      <c r="Q4" s="8">
        <v>99.8</v>
      </c>
      <c r="S4" s="21" t="s">
        <v>10</v>
      </c>
      <c r="T4" s="8">
        <v>57.786000000000001</v>
      </c>
      <c r="U4" s="8">
        <v>6.9930000000000003</v>
      </c>
      <c r="V4" s="8">
        <v>43.9</v>
      </c>
      <c r="W4" s="8">
        <v>71</v>
      </c>
      <c r="Y4" s="21" t="s">
        <v>10</v>
      </c>
      <c r="Z4" s="8">
        <v>55.567</v>
      </c>
      <c r="AA4" s="8">
        <v>5.96</v>
      </c>
      <c r="AB4" s="8">
        <v>43.4</v>
      </c>
      <c r="AC4" s="8">
        <v>66</v>
      </c>
      <c r="AE4" s="21" t="s">
        <v>10</v>
      </c>
      <c r="AF4" s="8">
        <v>6.3</v>
      </c>
      <c r="AG4" s="8">
        <v>1.89</v>
      </c>
      <c r="AH4" s="8">
        <v>2.9</v>
      </c>
      <c r="AI4" s="8">
        <v>10.3</v>
      </c>
      <c r="AK4" s="21" t="s">
        <v>10</v>
      </c>
      <c r="AL4" s="8">
        <v>1.401</v>
      </c>
      <c r="AM4" s="8">
        <v>1.0209999999999999</v>
      </c>
      <c r="AN4" s="8">
        <v>0</v>
      </c>
      <c r="AO4" s="8">
        <v>3.9</v>
      </c>
      <c r="AQ4" s="21" t="s">
        <v>10</v>
      </c>
      <c r="AR4" s="8">
        <v>2.9910000000000001</v>
      </c>
      <c r="AS4" s="8">
        <v>1.645</v>
      </c>
      <c r="AT4" s="8">
        <v>0.4</v>
      </c>
      <c r="AU4" s="8">
        <v>6.7</v>
      </c>
    </row>
    <row r="5" spans="1:47" x14ac:dyDescent="0.25">
      <c r="A5" s="21" t="s">
        <v>101</v>
      </c>
      <c r="B5" s="8">
        <v>16.45580640803426</v>
      </c>
      <c r="C5" s="8">
        <v>2.9418083172106262</v>
      </c>
      <c r="D5" s="8">
        <v>10.689862106301433</v>
      </c>
      <c r="E5" s="8">
        <v>22.221750709767086</v>
      </c>
      <c r="G5" s="21" t="s">
        <v>101</v>
      </c>
      <c r="H5" s="8">
        <v>6.6449999999999996</v>
      </c>
      <c r="I5" s="8">
        <v>6.9539999999999997</v>
      </c>
      <c r="J5" s="8">
        <v>0</v>
      </c>
      <c r="K5" s="8">
        <v>21.902000000000001</v>
      </c>
      <c r="M5" s="21" t="s">
        <v>101</v>
      </c>
      <c r="N5" s="8">
        <v>11.061</v>
      </c>
      <c r="O5" s="8">
        <v>7.1890000000000001</v>
      </c>
      <c r="P5" s="8">
        <v>0</v>
      </c>
      <c r="Q5" s="8">
        <v>24.9</v>
      </c>
      <c r="S5" s="21" t="s">
        <v>101</v>
      </c>
      <c r="T5" s="8">
        <v>39.542999999999999</v>
      </c>
      <c r="U5" s="8">
        <v>7.1920000000000002</v>
      </c>
      <c r="V5" s="8">
        <v>25.898</v>
      </c>
      <c r="W5" s="8">
        <v>53.9</v>
      </c>
      <c r="Y5" s="21" t="s">
        <v>101</v>
      </c>
      <c r="Z5" s="8">
        <v>17.241</v>
      </c>
      <c r="AA5" s="8">
        <v>6.069</v>
      </c>
      <c r="AB5" s="8">
        <v>6.9</v>
      </c>
      <c r="AC5" s="8">
        <v>30</v>
      </c>
      <c r="AE5" s="21" t="s">
        <v>101</v>
      </c>
      <c r="AF5" s="8">
        <v>3.569</v>
      </c>
      <c r="AG5" s="8">
        <v>2.6429999999999998</v>
      </c>
      <c r="AH5" s="8">
        <v>0</v>
      </c>
      <c r="AI5" s="8">
        <v>9.3019999999999996</v>
      </c>
      <c r="AK5" s="21" t="s">
        <v>101</v>
      </c>
      <c r="AL5" s="8">
        <v>3.0990000000000002</v>
      </c>
      <c r="AM5" s="8">
        <v>2.0830000000000002</v>
      </c>
      <c r="AN5" s="8">
        <v>0</v>
      </c>
      <c r="AO5" s="8">
        <v>7.7</v>
      </c>
      <c r="AQ5" s="21" t="s">
        <v>101</v>
      </c>
      <c r="AR5" s="8">
        <v>1.5660000000000001</v>
      </c>
      <c r="AS5" s="8">
        <v>1.7310000000000001</v>
      </c>
      <c r="AT5" s="8">
        <v>0</v>
      </c>
      <c r="AU5" s="8">
        <v>6.1</v>
      </c>
    </row>
    <row r="6" spans="1:47" x14ac:dyDescent="0.25">
      <c r="A6" s="22" t="s">
        <v>126</v>
      </c>
      <c r="B6" s="8">
        <v>12.777898183017154</v>
      </c>
      <c r="C6" s="8">
        <v>3.0243641311228782</v>
      </c>
      <c r="D6" s="8">
        <v>6.8501444860163128</v>
      </c>
      <c r="E6" s="8">
        <v>18.705651880017996</v>
      </c>
      <c r="G6" s="22" t="s">
        <v>126</v>
      </c>
      <c r="H6" s="8">
        <v>6.4390000000000001</v>
      </c>
      <c r="I6" s="8">
        <v>6.9729999999999999</v>
      </c>
      <c r="J6" s="8">
        <v>0</v>
      </c>
      <c r="K6" s="8">
        <v>21.8</v>
      </c>
      <c r="M6" s="22" t="s">
        <v>126</v>
      </c>
      <c r="N6" s="8">
        <v>10.805</v>
      </c>
      <c r="O6" s="8">
        <v>7.2720000000000002</v>
      </c>
      <c r="P6" s="8">
        <v>0</v>
      </c>
      <c r="Q6" s="8">
        <v>24.8</v>
      </c>
      <c r="S6" s="22" t="s">
        <v>126</v>
      </c>
      <c r="T6" s="8">
        <v>29.027000000000001</v>
      </c>
      <c r="U6" s="8">
        <v>7.5890000000000004</v>
      </c>
      <c r="V6" s="8">
        <v>15</v>
      </c>
      <c r="W6" s="8">
        <v>44.3</v>
      </c>
      <c r="Y6" s="22" t="s">
        <v>126</v>
      </c>
      <c r="Z6" s="8">
        <v>14.205</v>
      </c>
      <c r="AA6" s="8">
        <v>7.0149999999999997</v>
      </c>
      <c r="AB6" s="8">
        <v>0.8</v>
      </c>
      <c r="AC6" s="8">
        <v>28.8</v>
      </c>
      <c r="AE6" s="22" t="s">
        <v>126</v>
      </c>
      <c r="AF6" s="8">
        <v>1.1180000000000001</v>
      </c>
      <c r="AG6" s="8">
        <v>1.6639999999999999</v>
      </c>
      <c r="AH6" s="8">
        <v>0</v>
      </c>
      <c r="AI6" s="8">
        <v>5.8</v>
      </c>
      <c r="AK6" s="22" t="s">
        <v>126</v>
      </c>
      <c r="AL6" s="8">
        <v>1.274</v>
      </c>
      <c r="AM6" s="8">
        <v>1.6870000000000001</v>
      </c>
      <c r="AN6" s="8">
        <v>0</v>
      </c>
      <c r="AO6" s="8">
        <v>5.8</v>
      </c>
      <c r="AQ6" s="22" t="s">
        <v>126</v>
      </c>
      <c r="AR6" s="8">
        <v>0.73699999999999999</v>
      </c>
      <c r="AS6" s="8">
        <v>1.319</v>
      </c>
      <c r="AT6" s="8">
        <v>0</v>
      </c>
      <c r="AU6" s="8">
        <v>4.6020000000000003</v>
      </c>
    </row>
    <row r="7" spans="1:47" x14ac:dyDescent="0.25">
      <c r="A7" s="22" t="s">
        <v>103</v>
      </c>
      <c r="B7" s="8">
        <v>3.6747086767549857</v>
      </c>
      <c r="C7" s="8">
        <v>0.97546533794776791</v>
      </c>
      <c r="D7" s="8">
        <v>1.7627966143773606</v>
      </c>
      <c r="E7" s="8">
        <v>5.586620739132611</v>
      </c>
      <c r="G7" s="22" t="s">
        <v>103</v>
      </c>
      <c r="H7" s="8">
        <v>0.20899999999999999</v>
      </c>
      <c r="I7" s="8">
        <v>0.54700000000000004</v>
      </c>
      <c r="J7" s="8">
        <v>0</v>
      </c>
      <c r="K7" s="8">
        <v>2</v>
      </c>
      <c r="M7" s="22" t="s">
        <v>103</v>
      </c>
      <c r="N7" s="8">
        <v>0.254</v>
      </c>
      <c r="O7" s="8">
        <v>0.65600000000000003</v>
      </c>
      <c r="P7" s="8">
        <v>0</v>
      </c>
      <c r="Q7" s="8">
        <v>2.4</v>
      </c>
      <c r="S7" s="22" t="s">
        <v>103</v>
      </c>
      <c r="T7" s="8">
        <v>10.497</v>
      </c>
      <c r="U7" s="8">
        <v>3.1339999999999999</v>
      </c>
      <c r="V7" s="8">
        <v>4.5999999999999996</v>
      </c>
      <c r="W7" s="8">
        <v>16.8</v>
      </c>
      <c r="Y7" s="22" t="s">
        <v>103</v>
      </c>
      <c r="Z7" s="8">
        <v>3.0379999999999998</v>
      </c>
      <c r="AA7" s="8">
        <v>3.6850000000000001</v>
      </c>
      <c r="AB7" s="8">
        <v>0</v>
      </c>
      <c r="AC7" s="8">
        <v>11.7</v>
      </c>
      <c r="AE7" s="22" t="s">
        <v>103</v>
      </c>
      <c r="AF7" s="8">
        <v>2.4569999999999999</v>
      </c>
      <c r="AG7" s="8">
        <v>2.4500000000000002</v>
      </c>
      <c r="AH7" s="8">
        <v>0</v>
      </c>
      <c r="AI7" s="8">
        <v>7.9</v>
      </c>
      <c r="AK7" s="22" t="s">
        <v>103</v>
      </c>
      <c r="AL7" s="8">
        <v>1.8320000000000001</v>
      </c>
      <c r="AM7" s="8">
        <v>1.837</v>
      </c>
      <c r="AN7" s="8">
        <v>0</v>
      </c>
      <c r="AO7" s="8">
        <v>6</v>
      </c>
      <c r="AQ7" s="22" t="s">
        <v>103</v>
      </c>
      <c r="AR7" s="8">
        <v>0.83799999999999997</v>
      </c>
      <c r="AS7" s="8">
        <v>1.266</v>
      </c>
      <c r="AT7" s="8">
        <v>0</v>
      </c>
      <c r="AU7" s="8">
        <v>4.4000000000000004</v>
      </c>
    </row>
    <row r="8" spans="1:47" x14ac:dyDescent="0.25">
      <c r="A8" s="20" t="s">
        <v>11</v>
      </c>
      <c r="B8" s="8">
        <v>24.726836560345728</v>
      </c>
      <c r="C8" s="8">
        <v>0.70741683905050357</v>
      </c>
      <c r="D8" s="8">
        <v>23.340299555806741</v>
      </c>
      <c r="E8" s="8">
        <v>26.113373564884714</v>
      </c>
      <c r="G8" s="20" t="s">
        <v>11</v>
      </c>
      <c r="H8" s="8">
        <v>0.39100000000000001</v>
      </c>
      <c r="I8" s="8">
        <v>0.503</v>
      </c>
      <c r="J8" s="8">
        <v>0</v>
      </c>
      <c r="K8" s="8">
        <v>1.8</v>
      </c>
      <c r="M8" s="20" t="s">
        <v>11</v>
      </c>
      <c r="N8" s="8">
        <v>0.40799999999999997</v>
      </c>
      <c r="O8" s="8">
        <v>0.55500000000000005</v>
      </c>
      <c r="P8" s="8">
        <v>0</v>
      </c>
      <c r="Q8" s="8">
        <v>2</v>
      </c>
      <c r="S8" s="20" t="s">
        <v>11</v>
      </c>
      <c r="T8" s="8">
        <v>2.645</v>
      </c>
      <c r="U8" s="8">
        <v>1.8560000000000001</v>
      </c>
      <c r="V8" s="8">
        <v>0</v>
      </c>
      <c r="W8" s="8">
        <v>6.9</v>
      </c>
      <c r="Y8" s="20" t="s">
        <v>11</v>
      </c>
      <c r="Z8" s="8">
        <v>27.189</v>
      </c>
      <c r="AA8" s="8">
        <v>4.04</v>
      </c>
      <c r="AB8" s="8">
        <v>19.5</v>
      </c>
      <c r="AC8" s="8">
        <v>35.1</v>
      </c>
      <c r="AE8" s="20" t="s">
        <v>11</v>
      </c>
      <c r="AF8" s="8">
        <v>90.126000000000005</v>
      </c>
      <c r="AG8" s="8">
        <v>2.6869999999999998</v>
      </c>
      <c r="AH8" s="8">
        <v>84.4</v>
      </c>
      <c r="AI8" s="8">
        <v>94.7</v>
      </c>
      <c r="AK8" s="20" t="s">
        <v>11</v>
      </c>
      <c r="AL8" s="8">
        <v>95.492999999999995</v>
      </c>
      <c r="AM8" s="8">
        <v>2.1739999999999999</v>
      </c>
      <c r="AN8" s="8">
        <v>90.7</v>
      </c>
      <c r="AO8" s="8">
        <v>99</v>
      </c>
      <c r="AQ8" s="20" t="s">
        <v>11</v>
      </c>
      <c r="AR8" s="8">
        <v>95.438999999999993</v>
      </c>
      <c r="AS8" s="8">
        <v>2.2069999999999999</v>
      </c>
      <c r="AT8" s="8">
        <v>90.4</v>
      </c>
      <c r="AU8" s="8">
        <v>98.8</v>
      </c>
    </row>
    <row r="9" spans="1:47" x14ac:dyDescent="0.25">
      <c r="A9" s="21" t="s">
        <v>103</v>
      </c>
      <c r="B9" s="8">
        <v>10.162874973688364</v>
      </c>
      <c r="C9" s="8">
        <v>0.62572753578172902</v>
      </c>
      <c r="D9" s="8">
        <v>8.9364490035561754</v>
      </c>
      <c r="E9" s="8">
        <v>11.389300943820553</v>
      </c>
      <c r="G9" s="21" t="s">
        <v>103</v>
      </c>
      <c r="H9" s="8">
        <v>0.223</v>
      </c>
      <c r="I9" s="8">
        <v>0.38400000000000001</v>
      </c>
      <c r="J9" s="8">
        <v>0</v>
      </c>
      <c r="K9" s="8">
        <v>1.4</v>
      </c>
      <c r="M9" s="21" t="s">
        <v>103</v>
      </c>
      <c r="N9" s="8">
        <v>0.17399999999999999</v>
      </c>
      <c r="O9" s="8">
        <v>0.379</v>
      </c>
      <c r="P9" s="8">
        <v>0</v>
      </c>
      <c r="Q9" s="8">
        <v>1.3</v>
      </c>
      <c r="S9" s="21" t="s">
        <v>103</v>
      </c>
      <c r="T9" s="8">
        <v>0.19600000000000001</v>
      </c>
      <c r="U9" s="8">
        <v>0.45</v>
      </c>
      <c r="V9" s="8">
        <v>0</v>
      </c>
      <c r="W9" s="8">
        <v>1.5</v>
      </c>
      <c r="Y9" s="21" t="s">
        <v>103</v>
      </c>
      <c r="Z9" s="8">
        <v>5.944</v>
      </c>
      <c r="AA9" s="8">
        <v>2.2869999999999999</v>
      </c>
      <c r="AB9" s="8">
        <v>1.9</v>
      </c>
      <c r="AC9" s="8">
        <v>10.9</v>
      </c>
      <c r="AE9" s="21" t="s">
        <v>103</v>
      </c>
      <c r="AF9" s="8">
        <v>22.776</v>
      </c>
      <c r="AG9" s="8">
        <v>3.8170000000000002</v>
      </c>
      <c r="AH9" s="8">
        <v>15.6</v>
      </c>
      <c r="AI9" s="8">
        <v>30.5</v>
      </c>
      <c r="AK9" s="21" t="s">
        <v>103</v>
      </c>
      <c r="AL9" s="8">
        <v>52.817</v>
      </c>
      <c r="AM9" s="8">
        <v>3.9940000000000002</v>
      </c>
      <c r="AN9" s="8">
        <v>45</v>
      </c>
      <c r="AO9" s="8">
        <v>60.7</v>
      </c>
      <c r="AQ9" s="21" t="s">
        <v>103</v>
      </c>
      <c r="AR9" s="8">
        <v>70.325000000000003</v>
      </c>
      <c r="AS9" s="8">
        <v>4.5250000000000004</v>
      </c>
      <c r="AT9" s="8">
        <v>61.1</v>
      </c>
      <c r="AU9" s="8">
        <v>78.8</v>
      </c>
    </row>
    <row r="10" spans="1:47" x14ac:dyDescent="0.25">
      <c r="A10" s="21" t="s">
        <v>38</v>
      </c>
      <c r="B10" s="8">
        <v>10.482487940226545</v>
      </c>
      <c r="C10" s="8">
        <v>0.98929762735957838</v>
      </c>
      <c r="D10" s="8">
        <v>8.5434645906017703</v>
      </c>
      <c r="E10" s="8">
        <v>12.421511289851319</v>
      </c>
      <c r="G10" s="21" t="s">
        <v>38</v>
      </c>
      <c r="H10" s="8">
        <v>0.10100000000000001</v>
      </c>
      <c r="I10" s="8">
        <v>0.26500000000000001</v>
      </c>
      <c r="J10" s="8">
        <v>0</v>
      </c>
      <c r="K10" s="8">
        <v>0.8</v>
      </c>
      <c r="M10" s="21" t="s">
        <v>38</v>
      </c>
      <c r="N10" s="8">
        <v>0.10100000000000001</v>
      </c>
      <c r="O10" s="8">
        <v>0.26100000000000001</v>
      </c>
      <c r="P10" s="8">
        <v>0</v>
      </c>
      <c r="Q10" s="8">
        <v>0.9</v>
      </c>
      <c r="S10" s="21" t="s">
        <v>38</v>
      </c>
      <c r="T10" s="8">
        <v>2.11</v>
      </c>
      <c r="U10" s="8">
        <v>1.88</v>
      </c>
      <c r="V10" s="8">
        <v>0</v>
      </c>
      <c r="W10" s="8">
        <v>6.4</v>
      </c>
      <c r="Y10" s="21" t="s">
        <v>38</v>
      </c>
      <c r="Z10" s="8">
        <v>19.213999999999999</v>
      </c>
      <c r="AA10" s="8">
        <v>3.9430000000000001</v>
      </c>
      <c r="AB10" s="8">
        <v>11.7</v>
      </c>
      <c r="AC10" s="8">
        <v>27.2</v>
      </c>
      <c r="AE10" s="21" t="s">
        <v>38</v>
      </c>
      <c r="AF10" s="8">
        <v>53.774999999999999</v>
      </c>
      <c r="AG10" s="8">
        <v>5.8369999999999997</v>
      </c>
      <c r="AH10" s="8">
        <v>42.3</v>
      </c>
      <c r="AI10" s="8">
        <v>65.099999999999994</v>
      </c>
      <c r="AK10" s="21" t="s">
        <v>38</v>
      </c>
      <c r="AL10" s="8">
        <v>22.225999999999999</v>
      </c>
      <c r="AM10" s="8">
        <v>4.1870000000000003</v>
      </c>
      <c r="AN10" s="8">
        <v>14.598000000000001</v>
      </c>
      <c r="AO10" s="8">
        <v>31.1</v>
      </c>
      <c r="AQ10" s="21" t="s">
        <v>38</v>
      </c>
      <c r="AR10" s="8">
        <v>11.391</v>
      </c>
      <c r="AS10" s="8">
        <v>5.8570000000000002</v>
      </c>
      <c r="AT10" s="8">
        <v>0.1</v>
      </c>
      <c r="AU10" s="8">
        <v>23.2</v>
      </c>
    </row>
    <row r="11" spans="1:47" x14ac:dyDescent="0.25">
      <c r="A11" s="21" t="s">
        <v>104</v>
      </c>
      <c r="B11" s="8">
        <v>3.1224769337407245</v>
      </c>
      <c r="C11" s="8">
        <v>0.74210293242779135</v>
      </c>
      <c r="D11" s="8">
        <v>1.6679551861822535</v>
      </c>
      <c r="E11" s="8">
        <v>4.5769986812991954</v>
      </c>
      <c r="G11" s="21" t="s">
        <v>104</v>
      </c>
      <c r="H11" s="8">
        <v>7.5999999999999998E-2</v>
      </c>
      <c r="I11" s="8">
        <v>0.16500000000000001</v>
      </c>
      <c r="J11" s="8">
        <v>0</v>
      </c>
      <c r="K11" s="8">
        <v>0.5</v>
      </c>
      <c r="M11" s="21" t="s">
        <v>104</v>
      </c>
      <c r="N11" s="8">
        <v>0.111</v>
      </c>
      <c r="O11" s="8">
        <v>0.24</v>
      </c>
      <c r="P11" s="8">
        <v>0</v>
      </c>
      <c r="Q11" s="8">
        <v>0.8</v>
      </c>
      <c r="S11" s="21" t="s">
        <v>104</v>
      </c>
      <c r="T11" s="8">
        <v>0.312</v>
      </c>
      <c r="U11" s="8">
        <v>0.65</v>
      </c>
      <c r="V11" s="8">
        <v>0</v>
      </c>
      <c r="W11" s="8">
        <v>2.2999999999999998</v>
      </c>
      <c r="Y11" s="21" t="s">
        <v>104</v>
      </c>
      <c r="Z11" s="8">
        <v>0.83299999999999996</v>
      </c>
      <c r="AA11" s="8">
        <v>1.581</v>
      </c>
      <c r="AB11" s="8">
        <v>0</v>
      </c>
      <c r="AC11" s="8">
        <v>5.7</v>
      </c>
      <c r="AE11" s="21" t="s">
        <v>104</v>
      </c>
      <c r="AF11" s="8">
        <v>10.694000000000001</v>
      </c>
      <c r="AG11" s="8">
        <v>5.1319999999999997</v>
      </c>
      <c r="AH11" s="8">
        <v>0.1</v>
      </c>
      <c r="AI11" s="8">
        <v>21.3</v>
      </c>
      <c r="AK11" s="21" t="s">
        <v>104</v>
      </c>
      <c r="AL11" s="8">
        <v>15.331</v>
      </c>
      <c r="AM11" s="8">
        <v>3.8010000000000002</v>
      </c>
      <c r="AN11" s="8">
        <v>8.3979999999999997</v>
      </c>
      <c r="AO11" s="8">
        <v>23.2</v>
      </c>
      <c r="AQ11" s="21" t="s">
        <v>104</v>
      </c>
      <c r="AR11" s="8">
        <v>11.009</v>
      </c>
      <c r="AS11" s="8">
        <v>5.806</v>
      </c>
      <c r="AT11" s="8">
        <v>0.9</v>
      </c>
      <c r="AU11" s="8">
        <v>22.6</v>
      </c>
    </row>
    <row r="12" spans="1:47" x14ac:dyDescent="0.25">
      <c r="A12" s="22" t="s">
        <v>14</v>
      </c>
      <c r="B12" s="8">
        <v>0.42461103756643692</v>
      </c>
      <c r="C12" s="8">
        <v>0.49658037996127569</v>
      </c>
      <c r="D12" s="8">
        <v>0</v>
      </c>
      <c r="E12" s="8">
        <v>1.3979085822905373</v>
      </c>
      <c r="G12" s="22" t="s">
        <v>14</v>
      </c>
      <c r="H12" s="8">
        <v>0.02</v>
      </c>
      <c r="I12" s="8">
        <v>8.1000000000000003E-2</v>
      </c>
      <c r="J12" s="8">
        <v>0</v>
      </c>
      <c r="K12" s="8">
        <v>0.2</v>
      </c>
      <c r="M12" s="22" t="s">
        <v>14</v>
      </c>
      <c r="N12" s="8">
        <v>2.5000000000000001E-2</v>
      </c>
      <c r="O12" s="8">
        <v>0.111</v>
      </c>
      <c r="P12" s="8">
        <v>0</v>
      </c>
      <c r="Q12" s="8">
        <v>0.2</v>
      </c>
      <c r="S12" s="22" t="s">
        <v>14</v>
      </c>
      <c r="T12" s="8">
        <v>4.3999999999999997E-2</v>
      </c>
      <c r="U12" s="8">
        <v>0.215</v>
      </c>
      <c r="V12" s="8">
        <v>0</v>
      </c>
      <c r="W12" s="8">
        <v>0.4</v>
      </c>
      <c r="Y12" s="22" t="s">
        <v>14</v>
      </c>
      <c r="Z12" s="8">
        <v>0.105</v>
      </c>
      <c r="AA12" s="8">
        <v>0.47199999999999998</v>
      </c>
      <c r="AB12" s="8">
        <v>0</v>
      </c>
      <c r="AC12" s="8">
        <v>1.302</v>
      </c>
      <c r="AE12" s="22" t="s">
        <v>14</v>
      </c>
      <c r="AF12" s="8">
        <v>2.7770000000000001</v>
      </c>
      <c r="AG12" s="8">
        <v>4.1509999999999998</v>
      </c>
      <c r="AH12" s="8">
        <v>0</v>
      </c>
      <c r="AI12" s="8">
        <v>13.1</v>
      </c>
      <c r="AK12" s="22" t="s">
        <v>14</v>
      </c>
      <c r="AL12" s="8">
        <v>8.4000000000000005E-2</v>
      </c>
      <c r="AM12" s="8">
        <v>0.47199999999999998</v>
      </c>
      <c r="AN12" s="8">
        <v>0</v>
      </c>
      <c r="AO12" s="8">
        <v>0.9</v>
      </c>
      <c r="AQ12" s="22" t="s">
        <v>14</v>
      </c>
      <c r="AR12" s="8">
        <v>1.89</v>
      </c>
      <c r="AS12" s="8">
        <v>2.2879999999999998</v>
      </c>
      <c r="AT12" s="8">
        <v>0</v>
      </c>
      <c r="AU12" s="8">
        <v>7.9</v>
      </c>
    </row>
    <row r="13" spans="1:47" x14ac:dyDescent="0.25">
      <c r="A13" s="22" t="s">
        <v>15</v>
      </c>
      <c r="B13" s="8">
        <v>2.7036575343366831</v>
      </c>
      <c r="C13" s="8">
        <v>0.73527145356927937</v>
      </c>
      <c r="D13" s="8">
        <v>1.2625254853408956</v>
      </c>
      <c r="E13" s="8">
        <v>4.1447895833324706</v>
      </c>
      <c r="G13" s="22" t="s">
        <v>15</v>
      </c>
      <c r="H13" s="8">
        <v>6.3E-2</v>
      </c>
      <c r="I13" s="8">
        <v>0.14899999999999999</v>
      </c>
      <c r="J13" s="8">
        <v>0</v>
      </c>
      <c r="K13" s="8">
        <v>0.5</v>
      </c>
      <c r="M13" s="22" t="s">
        <v>15</v>
      </c>
      <c r="N13" s="8">
        <v>9.1999999999999998E-2</v>
      </c>
      <c r="O13" s="8">
        <v>0.216</v>
      </c>
      <c r="P13" s="8">
        <v>0</v>
      </c>
      <c r="Q13" s="8">
        <v>0.7</v>
      </c>
      <c r="S13" s="22" t="s">
        <v>15</v>
      </c>
      <c r="T13" s="8">
        <v>0.27400000000000002</v>
      </c>
      <c r="U13" s="8">
        <v>0.61899999999999999</v>
      </c>
      <c r="V13" s="8">
        <v>0</v>
      </c>
      <c r="W13" s="8">
        <v>2.2000000000000002</v>
      </c>
      <c r="Y13" s="22" t="s">
        <v>15</v>
      </c>
      <c r="Z13" s="8">
        <v>0.73399999999999999</v>
      </c>
      <c r="AA13" s="8">
        <v>1.518</v>
      </c>
      <c r="AB13" s="8">
        <v>0</v>
      </c>
      <c r="AC13" s="8">
        <v>5.5</v>
      </c>
      <c r="AE13" s="22" t="s">
        <v>15</v>
      </c>
      <c r="AF13" s="8">
        <v>7.92</v>
      </c>
      <c r="AG13" s="8">
        <v>5.08</v>
      </c>
      <c r="AH13" s="8">
        <v>0</v>
      </c>
      <c r="AI13" s="8">
        <v>18</v>
      </c>
      <c r="AK13" s="22" t="s">
        <v>15</v>
      </c>
      <c r="AL13" s="8">
        <v>15.254</v>
      </c>
      <c r="AM13" s="8">
        <v>3.7869999999999999</v>
      </c>
      <c r="AN13" s="8">
        <v>8.3000000000000007</v>
      </c>
      <c r="AO13" s="8">
        <v>23</v>
      </c>
      <c r="AQ13" s="22" t="s">
        <v>15</v>
      </c>
      <c r="AR13" s="8">
        <v>9.1199999999999992</v>
      </c>
      <c r="AS13" s="8">
        <v>5.9770000000000003</v>
      </c>
      <c r="AT13" s="8">
        <v>0</v>
      </c>
      <c r="AU13" s="8">
        <v>20.5</v>
      </c>
    </row>
    <row r="14" spans="1:47" x14ac:dyDescent="0.25">
      <c r="A14" s="21" t="s">
        <v>105</v>
      </c>
      <c r="B14" s="8">
        <v>0.98729988110429934</v>
      </c>
      <c r="C14" s="8">
        <v>0.21611802845530934</v>
      </c>
      <c r="D14" s="8">
        <v>0.56370854533189307</v>
      </c>
      <c r="E14" s="8">
        <v>1.4108912168767056</v>
      </c>
      <c r="G14" s="21" t="s">
        <v>105</v>
      </c>
      <c r="H14" s="8">
        <v>4.3999999999999997E-2</v>
      </c>
      <c r="I14" s="8">
        <v>0.108</v>
      </c>
      <c r="J14" s="8">
        <v>0</v>
      </c>
      <c r="K14" s="8">
        <v>0.3</v>
      </c>
      <c r="M14" s="21" t="s">
        <v>105</v>
      </c>
      <c r="N14" s="8">
        <v>7.2999999999999995E-2</v>
      </c>
      <c r="O14" s="8">
        <v>0.20399999999999999</v>
      </c>
      <c r="P14" s="8">
        <v>0</v>
      </c>
      <c r="Q14" s="8">
        <v>0.6</v>
      </c>
      <c r="S14" s="21" t="s">
        <v>105</v>
      </c>
      <c r="T14" s="8">
        <v>6.3E-2</v>
      </c>
      <c r="U14" s="8">
        <v>0.17199999999999999</v>
      </c>
      <c r="V14" s="8">
        <v>0</v>
      </c>
      <c r="W14" s="8">
        <v>0.5</v>
      </c>
      <c r="Y14" s="21" t="s">
        <v>105</v>
      </c>
      <c r="Z14" s="8">
        <v>1.1870000000000001</v>
      </c>
      <c r="AA14" s="8">
        <v>0.76700000000000002</v>
      </c>
      <c r="AB14" s="8">
        <v>0.2</v>
      </c>
      <c r="AC14" s="8">
        <v>3</v>
      </c>
      <c r="AE14" s="21" t="s">
        <v>105</v>
      </c>
      <c r="AF14" s="8">
        <v>2.87</v>
      </c>
      <c r="AG14" s="8">
        <v>1.141</v>
      </c>
      <c r="AH14" s="8">
        <v>1</v>
      </c>
      <c r="AI14" s="8">
        <v>5.4</v>
      </c>
      <c r="AK14" s="21" t="s">
        <v>105</v>
      </c>
      <c r="AL14" s="8">
        <v>5.1040000000000001</v>
      </c>
      <c r="AM14" s="8">
        <v>1.579</v>
      </c>
      <c r="AN14" s="8">
        <v>2.4</v>
      </c>
      <c r="AO14" s="8">
        <v>8.5</v>
      </c>
      <c r="AQ14" s="21" t="s">
        <v>105</v>
      </c>
      <c r="AR14" s="8">
        <v>2.7090000000000001</v>
      </c>
      <c r="AS14" s="8">
        <v>1.7470000000000001</v>
      </c>
      <c r="AT14" s="8">
        <v>0.2</v>
      </c>
      <c r="AU14" s="8">
        <v>6.9</v>
      </c>
    </row>
    <row r="15" spans="1:47" x14ac:dyDescent="0.25">
      <c r="A15" s="22" t="s">
        <v>17</v>
      </c>
      <c r="B15" s="8">
        <v>0.93380791848655476</v>
      </c>
      <c r="C15" s="8">
        <v>0.20666464632355055</v>
      </c>
      <c r="D15" s="8">
        <v>0.52874521169239563</v>
      </c>
      <c r="E15" s="8">
        <v>1.3388706252807139</v>
      </c>
      <c r="G15" s="22" t="s">
        <v>17</v>
      </c>
      <c r="H15" s="8">
        <v>3.2000000000000001E-2</v>
      </c>
      <c r="I15" s="8">
        <v>9.5000000000000001E-2</v>
      </c>
      <c r="J15" s="8">
        <v>0</v>
      </c>
      <c r="K15" s="8">
        <v>0.2</v>
      </c>
      <c r="M15" s="22" t="s">
        <v>17</v>
      </c>
      <c r="N15" s="8">
        <v>0.03</v>
      </c>
      <c r="O15" s="8">
        <v>8.5999999999999993E-2</v>
      </c>
      <c r="P15" s="8">
        <v>0</v>
      </c>
      <c r="Q15" s="8">
        <v>0.2</v>
      </c>
      <c r="S15" s="22" t="s">
        <v>17</v>
      </c>
      <c r="T15" s="8">
        <v>4.4999999999999998E-2</v>
      </c>
      <c r="U15" s="8">
        <v>0.14599999999999999</v>
      </c>
      <c r="V15" s="8">
        <v>0</v>
      </c>
      <c r="W15" s="8">
        <v>0.4</v>
      </c>
      <c r="Y15" s="22" t="s">
        <v>17</v>
      </c>
      <c r="Z15" s="8">
        <v>1.153</v>
      </c>
      <c r="AA15" s="8">
        <v>0.752</v>
      </c>
      <c r="AB15" s="8">
        <v>0.1</v>
      </c>
      <c r="AC15" s="8">
        <v>3</v>
      </c>
      <c r="AE15" s="22" t="s">
        <v>17</v>
      </c>
      <c r="AF15" s="8">
        <v>2.855</v>
      </c>
      <c r="AG15" s="8">
        <v>1.1379999999999999</v>
      </c>
      <c r="AH15" s="8">
        <v>1</v>
      </c>
      <c r="AI15" s="8">
        <v>5.4</v>
      </c>
      <c r="AK15" s="22" t="s">
        <v>17</v>
      </c>
      <c r="AL15" s="8">
        <v>5.0890000000000004</v>
      </c>
      <c r="AM15" s="8">
        <v>1.5740000000000001</v>
      </c>
      <c r="AN15" s="8">
        <v>2.4</v>
      </c>
      <c r="AO15" s="8">
        <v>8.5</v>
      </c>
      <c r="AQ15" s="22" t="s">
        <v>17</v>
      </c>
      <c r="AR15" s="8">
        <v>1.7809999999999999</v>
      </c>
      <c r="AS15" s="8">
        <v>1.2909999999999999</v>
      </c>
      <c r="AT15" s="8">
        <v>0</v>
      </c>
      <c r="AU15" s="8">
        <v>5</v>
      </c>
    </row>
    <row r="16" spans="1:47" x14ac:dyDescent="0.25">
      <c r="A16" s="22" t="s">
        <v>18</v>
      </c>
      <c r="B16" s="8">
        <v>5.8028988843866758E-2</v>
      </c>
      <c r="C16" s="8">
        <v>6.7665673864598805E-2</v>
      </c>
      <c r="D16" s="8">
        <v>0</v>
      </c>
      <c r="E16" s="8">
        <v>0.19065370961848041</v>
      </c>
      <c r="G16" s="22" t="s">
        <v>18</v>
      </c>
      <c r="H16" s="8">
        <v>1.6E-2</v>
      </c>
      <c r="I16" s="8">
        <v>5.8999999999999997E-2</v>
      </c>
      <c r="J16" s="8">
        <v>0</v>
      </c>
      <c r="K16" s="8">
        <v>0.1</v>
      </c>
      <c r="M16" s="22" t="s">
        <v>18</v>
      </c>
      <c r="N16" s="8">
        <v>4.7E-2</v>
      </c>
      <c r="O16" s="8">
        <v>0.188</v>
      </c>
      <c r="P16" s="8">
        <v>0</v>
      </c>
      <c r="Q16" s="8">
        <v>0.6</v>
      </c>
      <c r="S16" s="22" t="s">
        <v>18</v>
      </c>
      <c r="T16" s="8">
        <v>2.1999999999999999E-2</v>
      </c>
      <c r="U16" s="8">
        <v>9.4E-2</v>
      </c>
      <c r="V16" s="8">
        <v>0</v>
      </c>
      <c r="W16" s="8">
        <v>0.2</v>
      </c>
      <c r="Y16" s="22" t="s">
        <v>18</v>
      </c>
      <c r="Z16" s="8">
        <v>0.04</v>
      </c>
      <c r="AA16" s="8">
        <v>0.158</v>
      </c>
      <c r="AB16" s="8">
        <v>0</v>
      </c>
      <c r="AC16" s="8">
        <v>0.40200000000000002</v>
      </c>
      <c r="AE16" s="22" t="s">
        <v>18</v>
      </c>
      <c r="AF16" s="8">
        <v>2.1000000000000001E-2</v>
      </c>
      <c r="AG16" s="8">
        <v>9.0999999999999998E-2</v>
      </c>
      <c r="AH16" s="8">
        <v>0</v>
      </c>
      <c r="AI16" s="8">
        <v>0.2</v>
      </c>
      <c r="AK16" s="22" t="s">
        <v>18</v>
      </c>
      <c r="AL16" s="8">
        <v>2.3E-2</v>
      </c>
      <c r="AM16" s="8">
        <v>0.1</v>
      </c>
      <c r="AN16" s="8">
        <v>0</v>
      </c>
      <c r="AO16" s="8">
        <v>0.2</v>
      </c>
      <c r="AQ16" s="22" t="s">
        <v>18</v>
      </c>
      <c r="AR16" s="8">
        <v>0.92700000000000005</v>
      </c>
      <c r="AS16" s="8">
        <v>1.331</v>
      </c>
      <c r="AT16" s="8">
        <v>0</v>
      </c>
      <c r="AU16" s="8">
        <v>4.5</v>
      </c>
    </row>
    <row r="17" spans="1:47" x14ac:dyDescent="0.25">
      <c r="A17" s="20" t="s">
        <v>41</v>
      </c>
      <c r="B17" s="8">
        <v>20.634193428340261</v>
      </c>
      <c r="C17" s="8">
        <v>1.0144671901030775</v>
      </c>
      <c r="D17" s="8">
        <v>18.64583773573823</v>
      </c>
      <c r="E17" s="8">
        <v>22.622549120942292</v>
      </c>
      <c r="G17" s="20" t="s">
        <v>41</v>
      </c>
      <c r="H17" s="8">
        <v>0.30599999999999999</v>
      </c>
      <c r="I17" s="8">
        <v>0.46300000000000002</v>
      </c>
      <c r="J17" s="8">
        <v>0</v>
      </c>
      <c r="K17" s="8">
        <v>1.6</v>
      </c>
      <c r="M17" s="20" t="s">
        <v>41</v>
      </c>
      <c r="N17" s="8">
        <v>0.25800000000000001</v>
      </c>
      <c r="O17" s="8">
        <v>0.45400000000000001</v>
      </c>
      <c r="P17" s="8">
        <v>0</v>
      </c>
      <c r="Q17" s="8">
        <v>1.6</v>
      </c>
      <c r="S17" s="20" t="s">
        <v>41</v>
      </c>
      <c r="T17" s="8">
        <v>2.2959999999999998</v>
      </c>
      <c r="U17" s="8">
        <v>1.913</v>
      </c>
      <c r="V17" s="8">
        <v>0</v>
      </c>
      <c r="W17" s="8">
        <v>6.6</v>
      </c>
      <c r="Y17" s="20" t="s">
        <v>41</v>
      </c>
      <c r="Z17" s="8">
        <v>25.164999999999999</v>
      </c>
      <c r="AA17" s="8">
        <v>4.3079999999999998</v>
      </c>
      <c r="AB17" s="8">
        <v>16.8</v>
      </c>
      <c r="AC17" s="8">
        <v>33.5</v>
      </c>
      <c r="AE17" s="20" t="s">
        <v>41</v>
      </c>
      <c r="AF17" s="8">
        <v>76.543999999999997</v>
      </c>
      <c r="AG17" s="8">
        <v>5.7830000000000004</v>
      </c>
      <c r="AH17" s="8">
        <v>65.099999999999994</v>
      </c>
      <c r="AI17" s="8">
        <v>88</v>
      </c>
      <c r="AK17" s="20" t="s">
        <v>41</v>
      </c>
      <c r="AL17" s="8">
        <v>75.040000000000006</v>
      </c>
      <c r="AM17" s="8">
        <v>4.5339999999999998</v>
      </c>
      <c r="AN17" s="8">
        <v>66</v>
      </c>
      <c r="AO17" s="8">
        <v>83.501999999999995</v>
      </c>
      <c r="AQ17" s="20" t="s">
        <v>41</v>
      </c>
      <c r="AR17" s="8">
        <v>81.703000000000003</v>
      </c>
      <c r="AS17" s="8">
        <v>5.915</v>
      </c>
      <c r="AT17" s="8">
        <v>69.8</v>
      </c>
      <c r="AU17" s="8">
        <v>92.5</v>
      </c>
    </row>
    <row r="18" spans="1:47" x14ac:dyDescent="0.25">
      <c r="A18" s="20" t="s">
        <v>106</v>
      </c>
      <c r="B18" s="8">
        <v>3.6825274520799343</v>
      </c>
      <c r="C18" s="8">
        <v>0.75681909434549421</v>
      </c>
      <c r="D18" s="8">
        <v>2.1991620271627657</v>
      </c>
      <c r="E18" s="8">
        <v>5.1658928769971029</v>
      </c>
      <c r="G18" s="20" t="s">
        <v>106</v>
      </c>
      <c r="H18" s="8">
        <v>9.2999999999999999E-2</v>
      </c>
      <c r="I18" s="8">
        <v>0.17899999999999999</v>
      </c>
      <c r="J18" s="8">
        <v>0</v>
      </c>
      <c r="K18" s="8">
        <v>0.6</v>
      </c>
      <c r="M18" s="20" t="s">
        <v>106</v>
      </c>
      <c r="N18" s="8">
        <v>0.152</v>
      </c>
      <c r="O18" s="8">
        <v>0.29499999999999998</v>
      </c>
      <c r="P18" s="8">
        <v>0</v>
      </c>
      <c r="Q18" s="8">
        <v>1</v>
      </c>
      <c r="S18" s="20" t="s">
        <v>106</v>
      </c>
      <c r="T18" s="8">
        <v>0.32300000000000001</v>
      </c>
      <c r="U18" s="8">
        <v>0.64800000000000002</v>
      </c>
      <c r="V18" s="8">
        <v>0</v>
      </c>
      <c r="W18" s="8">
        <v>2.202</v>
      </c>
      <c r="Y18" s="20" t="s">
        <v>106</v>
      </c>
      <c r="Z18" s="8">
        <v>1.915</v>
      </c>
      <c r="AA18" s="8">
        <v>1.7170000000000001</v>
      </c>
      <c r="AB18" s="8">
        <v>0.2</v>
      </c>
      <c r="AC18" s="8">
        <v>6.9</v>
      </c>
      <c r="AE18" s="20" t="s">
        <v>106</v>
      </c>
      <c r="AF18" s="8">
        <v>10.795999999999999</v>
      </c>
      <c r="AG18" s="8">
        <v>5.2119999999999997</v>
      </c>
      <c r="AH18" s="8">
        <v>2</v>
      </c>
      <c r="AI18" s="8">
        <v>21.1</v>
      </c>
      <c r="AK18" s="20" t="s">
        <v>106</v>
      </c>
      <c r="AL18" s="8">
        <v>20.366</v>
      </c>
      <c r="AM18" s="8">
        <v>3.94</v>
      </c>
      <c r="AN18" s="8">
        <v>13.1</v>
      </c>
      <c r="AO18" s="8">
        <v>28.5</v>
      </c>
      <c r="AQ18" s="20" t="s">
        <v>106</v>
      </c>
      <c r="AR18" s="8">
        <v>11.833</v>
      </c>
      <c r="AS18" s="8">
        <v>5.79</v>
      </c>
      <c r="AT18" s="8">
        <v>2</v>
      </c>
      <c r="AU18" s="8">
        <v>23.2</v>
      </c>
    </row>
    <row r="19" spans="1:47" x14ac:dyDescent="0.25">
      <c r="A19" s="20" t="s">
        <v>22</v>
      </c>
      <c r="B19" s="8">
        <v>14.573364370099458</v>
      </c>
      <c r="C19" s="8">
        <v>0.82293323074678038</v>
      </c>
      <c r="D19" s="8">
        <v>12.960415237835768</v>
      </c>
      <c r="E19" s="8">
        <v>16.186313502363149</v>
      </c>
      <c r="G19" s="20" t="s">
        <v>22</v>
      </c>
      <c r="H19" s="8">
        <v>0.185</v>
      </c>
      <c r="I19" s="8">
        <v>0.32800000000000001</v>
      </c>
      <c r="J19" s="8">
        <v>0</v>
      </c>
      <c r="K19" s="8">
        <v>1.1000000000000001</v>
      </c>
      <c r="M19" s="20" t="s">
        <v>22</v>
      </c>
      <c r="N19" s="8">
        <v>0.252</v>
      </c>
      <c r="O19" s="8">
        <v>0.40500000000000003</v>
      </c>
      <c r="P19" s="8">
        <v>0</v>
      </c>
      <c r="Q19" s="8">
        <v>1.4019999999999999</v>
      </c>
      <c r="S19" s="20" t="s">
        <v>22</v>
      </c>
      <c r="T19" s="8">
        <v>2.4609999999999999</v>
      </c>
      <c r="U19" s="8">
        <v>1.8260000000000001</v>
      </c>
      <c r="V19" s="8">
        <v>0</v>
      </c>
      <c r="W19" s="8">
        <v>6.6</v>
      </c>
      <c r="Y19" s="20" t="s">
        <v>22</v>
      </c>
      <c r="Z19" s="8">
        <v>21.234000000000002</v>
      </c>
      <c r="AA19" s="8">
        <v>3.6579999999999999</v>
      </c>
      <c r="AB19" s="8">
        <v>14.4</v>
      </c>
      <c r="AC19" s="8">
        <v>28.7</v>
      </c>
      <c r="AE19" s="20" t="s">
        <v>22</v>
      </c>
      <c r="AF19" s="8">
        <v>67.343999999999994</v>
      </c>
      <c r="AG19" s="8">
        <v>3.9350000000000001</v>
      </c>
      <c r="AH19" s="8">
        <v>59.4</v>
      </c>
      <c r="AI19" s="8">
        <v>74.8</v>
      </c>
      <c r="AK19" s="20" t="s">
        <v>22</v>
      </c>
      <c r="AL19" s="8">
        <v>42.673999999999999</v>
      </c>
      <c r="AM19" s="8">
        <v>3.9790000000000001</v>
      </c>
      <c r="AN19" s="8">
        <v>35</v>
      </c>
      <c r="AO19" s="8">
        <v>50.6</v>
      </c>
      <c r="AQ19" s="20" t="s">
        <v>22</v>
      </c>
      <c r="AR19" s="8">
        <v>25.125</v>
      </c>
      <c r="AS19" s="8">
        <v>4.4409999999999998</v>
      </c>
      <c r="AT19" s="8">
        <v>16.8</v>
      </c>
      <c r="AU19" s="8">
        <v>34.200000000000003</v>
      </c>
    </row>
    <row r="20" spans="1:47" x14ac:dyDescent="0.25">
      <c r="A20" s="20" t="s">
        <v>42</v>
      </c>
      <c r="B20" s="8">
        <v>95.898665844702151</v>
      </c>
      <c r="C20" s="8">
        <v>0.76153400180705799</v>
      </c>
      <c r="D20" s="8">
        <v>94.406059201160318</v>
      </c>
      <c r="E20" s="8">
        <v>97.391272488243985</v>
      </c>
      <c r="G20" s="20" t="s">
        <v>42</v>
      </c>
      <c r="H20" s="8">
        <v>99.894999999999996</v>
      </c>
      <c r="I20" s="8">
        <v>0.191</v>
      </c>
      <c r="J20" s="8">
        <v>99.3</v>
      </c>
      <c r="K20" s="8">
        <v>100</v>
      </c>
      <c r="M20" s="20" t="s">
        <v>42</v>
      </c>
      <c r="N20" s="8">
        <v>99.83</v>
      </c>
      <c r="O20" s="8">
        <v>0.311</v>
      </c>
      <c r="P20" s="8">
        <v>98.9</v>
      </c>
      <c r="Q20" s="8">
        <v>100</v>
      </c>
      <c r="S20" s="20" t="s">
        <v>42</v>
      </c>
      <c r="T20" s="8">
        <v>99.638999999999996</v>
      </c>
      <c r="U20" s="8">
        <v>0.67800000000000005</v>
      </c>
      <c r="V20" s="8">
        <v>97.6</v>
      </c>
      <c r="W20" s="8">
        <v>100</v>
      </c>
      <c r="Y20" s="20" t="s">
        <v>42</v>
      </c>
      <c r="Z20" s="8">
        <v>97.986000000000004</v>
      </c>
      <c r="AA20" s="8">
        <v>1.776</v>
      </c>
      <c r="AB20" s="8">
        <v>92.9</v>
      </c>
      <c r="AC20" s="8">
        <v>99.7</v>
      </c>
      <c r="AE20" s="20" t="s">
        <v>42</v>
      </c>
      <c r="AF20" s="8">
        <v>86.427999999999997</v>
      </c>
      <c r="AG20" s="8">
        <v>5.242</v>
      </c>
      <c r="AH20" s="8">
        <v>75.7</v>
      </c>
      <c r="AI20" s="8">
        <v>97.1</v>
      </c>
      <c r="AK20" s="20" t="s">
        <v>42</v>
      </c>
      <c r="AL20" s="8">
        <v>79.557000000000002</v>
      </c>
      <c r="AM20" s="8">
        <v>3.9510000000000001</v>
      </c>
      <c r="AN20" s="8">
        <v>71.400000000000006</v>
      </c>
      <c r="AO20" s="8">
        <v>86.8</v>
      </c>
      <c r="AQ20" s="20" t="s">
        <v>42</v>
      </c>
      <c r="AR20" s="8">
        <v>86.272999999999996</v>
      </c>
      <c r="AS20" s="8">
        <v>5.6239999999999997</v>
      </c>
      <c r="AT20" s="8">
        <v>74.900000000000006</v>
      </c>
      <c r="AU20" s="8">
        <v>96.1</v>
      </c>
    </row>
    <row r="21" spans="1:47" x14ac:dyDescent="0.25">
      <c r="A21" s="20" t="s">
        <v>21</v>
      </c>
      <c r="B21" s="8">
        <v>4.1013341552978471</v>
      </c>
      <c r="C21" s="8">
        <v>0.76178847569812891</v>
      </c>
      <c r="D21" s="8">
        <v>2.6082287429295143</v>
      </c>
      <c r="E21" s="8">
        <v>5.5944395676661802</v>
      </c>
      <c r="G21" s="20" t="s">
        <v>21</v>
      </c>
      <c r="H21" s="8">
        <v>0.105</v>
      </c>
      <c r="I21" s="8">
        <v>0.19400000000000001</v>
      </c>
      <c r="J21" s="8">
        <v>0</v>
      </c>
      <c r="K21" s="8">
        <v>0.6</v>
      </c>
      <c r="M21" s="20" t="s">
        <v>21</v>
      </c>
      <c r="N21" s="8">
        <v>0.17</v>
      </c>
      <c r="O21" s="8">
        <v>0.314</v>
      </c>
      <c r="P21" s="8">
        <v>0</v>
      </c>
      <c r="Q21" s="8">
        <v>1.1000000000000001</v>
      </c>
      <c r="S21" s="20" t="s">
        <v>21</v>
      </c>
      <c r="T21" s="8">
        <v>0.36099999999999999</v>
      </c>
      <c r="U21" s="8">
        <v>0.67900000000000005</v>
      </c>
      <c r="V21" s="8">
        <v>0</v>
      </c>
      <c r="W21" s="8">
        <v>2.4</v>
      </c>
      <c r="Y21" s="20" t="s">
        <v>21</v>
      </c>
      <c r="Z21" s="8">
        <v>2.0139999999999998</v>
      </c>
      <c r="AA21" s="8">
        <v>1.776</v>
      </c>
      <c r="AB21" s="8">
        <v>0.3</v>
      </c>
      <c r="AC21" s="8">
        <v>7.1</v>
      </c>
      <c r="AE21" s="20" t="s">
        <v>21</v>
      </c>
      <c r="AF21" s="8">
        <v>13.571999999999999</v>
      </c>
      <c r="AG21" s="8">
        <v>5.2430000000000003</v>
      </c>
      <c r="AH21" s="8">
        <v>2.9</v>
      </c>
      <c r="AI21" s="8">
        <v>24.3</v>
      </c>
      <c r="AK21" s="20" t="s">
        <v>21</v>
      </c>
      <c r="AL21" s="8">
        <v>20.443000000000001</v>
      </c>
      <c r="AM21" s="8">
        <v>3.9510000000000001</v>
      </c>
      <c r="AN21" s="8">
        <v>13.2</v>
      </c>
      <c r="AO21" s="8">
        <v>28.6</v>
      </c>
      <c r="AQ21" s="20" t="s">
        <v>21</v>
      </c>
      <c r="AR21" s="8">
        <v>13.727</v>
      </c>
      <c r="AS21" s="8">
        <v>5.625</v>
      </c>
      <c r="AT21" s="8">
        <v>3.8</v>
      </c>
      <c r="AU21" s="8">
        <v>25.1</v>
      </c>
    </row>
    <row r="25" spans="1:47" x14ac:dyDescent="0.25">
      <c r="A25" s="5" t="s">
        <v>286</v>
      </c>
      <c r="G25" s="16" t="s">
        <v>195</v>
      </c>
    </row>
    <row r="26" spans="1:47" x14ac:dyDescent="0.25">
      <c r="A26" t="s">
        <v>64</v>
      </c>
      <c r="B26" s="7" t="s">
        <v>65</v>
      </c>
      <c r="C26" s="7" t="s">
        <v>34</v>
      </c>
      <c r="D26" s="14" t="s">
        <v>111</v>
      </c>
      <c r="E26" s="14"/>
      <c r="G26" s="16" t="s">
        <v>196</v>
      </c>
    </row>
    <row r="27" spans="1:47" x14ac:dyDescent="0.25">
      <c r="A27" s="20" t="s">
        <v>9</v>
      </c>
      <c r="B27" s="8">
        <v>98.708743314951732</v>
      </c>
      <c r="C27" s="8">
        <v>0.77091087409313275</v>
      </c>
      <c r="D27" s="8">
        <v>97.197758001729198</v>
      </c>
      <c r="E27" s="8">
        <v>100</v>
      </c>
      <c r="G27" s="17" t="s">
        <v>197</v>
      </c>
    </row>
    <row r="28" spans="1:47" x14ac:dyDescent="0.25">
      <c r="A28" s="21" t="s">
        <v>10</v>
      </c>
      <c r="B28" s="8">
        <v>77.734911031910684</v>
      </c>
      <c r="C28" s="8">
        <v>4.0962618995494795</v>
      </c>
      <c r="D28" s="8">
        <v>69.706237708793708</v>
      </c>
      <c r="E28" s="8">
        <v>85.76358435502766</v>
      </c>
      <c r="G28" s="18" t="s">
        <v>198</v>
      </c>
    </row>
    <row r="29" spans="1:47" x14ac:dyDescent="0.25">
      <c r="A29" s="21" t="s">
        <v>101</v>
      </c>
      <c r="B29" s="8">
        <v>20.925697434260687</v>
      </c>
      <c r="C29" s="8">
        <v>4.1557897879242791</v>
      </c>
      <c r="D29" s="8">
        <v>12.780349449929101</v>
      </c>
      <c r="E29" s="8">
        <v>29.071045418592274</v>
      </c>
      <c r="G29" s="18" t="s">
        <v>199</v>
      </c>
    </row>
    <row r="30" spans="1:47" x14ac:dyDescent="0.25">
      <c r="A30" s="22" t="s">
        <v>126</v>
      </c>
      <c r="B30" s="8">
        <v>16.609442030604463</v>
      </c>
      <c r="C30" s="8">
        <v>4.2796749953421065</v>
      </c>
      <c r="D30" s="8">
        <v>8.2212790397339344</v>
      </c>
      <c r="E30" s="8">
        <v>24.997605021474989</v>
      </c>
      <c r="G30" s="18" t="s">
        <v>214</v>
      </c>
    </row>
    <row r="31" spans="1:47" x14ac:dyDescent="0.25">
      <c r="A31" s="22" t="s">
        <v>103</v>
      </c>
      <c r="B31" s="8">
        <v>4.3091450171699437</v>
      </c>
      <c r="C31" s="8">
        <v>1.2709420955105468</v>
      </c>
      <c r="D31" s="8">
        <v>1.8180985099692721</v>
      </c>
      <c r="E31" s="8">
        <v>6.8001915243706152</v>
      </c>
      <c r="G31" s="16" t="s">
        <v>201</v>
      </c>
    </row>
    <row r="32" spans="1:47" x14ac:dyDescent="0.25">
      <c r="A32" s="20" t="s">
        <v>11</v>
      </c>
      <c r="B32" s="8">
        <v>1.291256685048259</v>
      </c>
      <c r="C32" s="8">
        <v>0.77091087409313275</v>
      </c>
      <c r="D32" s="8">
        <v>0</v>
      </c>
      <c r="E32" s="8">
        <v>2.8022419982707989</v>
      </c>
      <c r="G32" s="16" t="s">
        <v>202</v>
      </c>
    </row>
    <row r="33" spans="1:7" x14ac:dyDescent="0.25">
      <c r="A33" s="21" t="s">
        <v>103</v>
      </c>
      <c r="B33" s="8">
        <v>0.19885636706444193</v>
      </c>
      <c r="C33" s="8">
        <v>0.24225231547495302</v>
      </c>
      <c r="D33" s="8">
        <v>0</v>
      </c>
      <c r="E33" s="8">
        <v>0.67367090539534979</v>
      </c>
      <c r="G33" s="16" t="s">
        <v>203</v>
      </c>
    </row>
    <row r="34" spans="1:7" x14ac:dyDescent="0.25">
      <c r="A34" s="21" t="s">
        <v>38</v>
      </c>
      <c r="B34" s="8">
        <v>0.89925425584103169</v>
      </c>
      <c r="C34" s="8">
        <v>0.75545152086910239</v>
      </c>
      <c r="D34" s="8">
        <v>0</v>
      </c>
      <c r="E34" s="8">
        <v>2.3799392367444723</v>
      </c>
      <c r="G34" s="16" t="s">
        <v>204</v>
      </c>
    </row>
    <row r="35" spans="1:7" x14ac:dyDescent="0.25">
      <c r="A35" s="21" t="s">
        <v>104</v>
      </c>
      <c r="B35" s="8">
        <v>0.17935451176481018</v>
      </c>
      <c r="C35" s="8">
        <v>0.27196662225071228</v>
      </c>
      <c r="D35" s="8">
        <v>0</v>
      </c>
      <c r="E35" s="8">
        <v>0.71240909137620623</v>
      </c>
      <c r="G35" s="16" t="s">
        <v>205</v>
      </c>
    </row>
    <row r="36" spans="1:7" x14ac:dyDescent="0.25">
      <c r="A36" s="22" t="s">
        <v>14</v>
      </c>
      <c r="B36" s="8">
        <v>3.0905064690202197E-2</v>
      </c>
      <c r="C36" s="8">
        <v>9.4504612202456817E-2</v>
      </c>
      <c r="D36" s="8">
        <v>0</v>
      </c>
      <c r="E36" s="8">
        <v>0.21613410460701754</v>
      </c>
      <c r="G36" s="16" t="s">
        <v>206</v>
      </c>
    </row>
    <row r="37" spans="1:7" x14ac:dyDescent="0.25">
      <c r="A37" s="22" t="s">
        <v>15</v>
      </c>
      <c r="B37" s="8">
        <v>0.15477832272402198</v>
      </c>
      <c r="C37" s="8">
        <v>0.25766515215599384</v>
      </c>
      <c r="D37" s="8">
        <v>0</v>
      </c>
      <c r="E37" s="8">
        <v>0.65980202094976992</v>
      </c>
      <c r="G37" s="16" t="s">
        <v>207</v>
      </c>
    </row>
    <row r="38" spans="1:7" x14ac:dyDescent="0.25">
      <c r="A38" s="21" t="s">
        <v>105</v>
      </c>
      <c r="B38" s="8">
        <v>5.9489215147377816E-2</v>
      </c>
      <c r="C38" s="8">
        <v>9.5140472421414768E-2</v>
      </c>
      <c r="D38" s="8">
        <v>0</v>
      </c>
      <c r="E38" s="8">
        <v>0.24596454109335075</v>
      </c>
      <c r="G38" s="16" t="s">
        <v>208</v>
      </c>
    </row>
    <row r="39" spans="1:7" x14ac:dyDescent="0.25">
      <c r="A39" s="22" t="s">
        <v>17</v>
      </c>
      <c r="B39" s="8">
        <v>3.6617837828253272E-2</v>
      </c>
      <c r="C39" s="8">
        <v>6.997045037828839E-2</v>
      </c>
      <c r="D39" s="8">
        <v>0</v>
      </c>
      <c r="E39" s="8">
        <v>0.17375992056969852</v>
      </c>
      <c r="G39" s="16" t="s">
        <v>209</v>
      </c>
    </row>
    <row r="40" spans="1:7" x14ac:dyDescent="0.25">
      <c r="A40" s="22" t="s">
        <v>18</v>
      </c>
      <c r="B40" s="8">
        <v>2.6871377319124534E-2</v>
      </c>
      <c r="C40" s="8">
        <v>6.6489425592584708E-2</v>
      </c>
      <c r="D40" s="8">
        <v>0</v>
      </c>
      <c r="E40" s="8">
        <v>0.15719065148059055</v>
      </c>
      <c r="G40" s="16" t="s">
        <v>210</v>
      </c>
    </row>
    <row r="41" spans="1:7" x14ac:dyDescent="0.25">
      <c r="A41" s="20" t="s">
        <v>41</v>
      </c>
      <c r="B41" s="8">
        <v>1.0835631209697913</v>
      </c>
      <c r="C41" s="8">
        <v>0.78511327524647623</v>
      </c>
      <c r="D41" s="8">
        <v>0</v>
      </c>
      <c r="E41" s="8">
        <v>2.6223851404528844</v>
      </c>
      <c r="G41" s="16" t="s">
        <v>211</v>
      </c>
    </row>
    <row r="42" spans="1:7" x14ac:dyDescent="0.25">
      <c r="A42" s="20" t="s">
        <v>106</v>
      </c>
      <c r="B42" s="8">
        <v>0.2005413231200241</v>
      </c>
      <c r="C42" s="8">
        <v>0.27619293234228648</v>
      </c>
      <c r="D42" s="8">
        <v>0</v>
      </c>
      <c r="E42" s="8">
        <v>0.74187947051090553</v>
      </c>
      <c r="G42" s="16" t="s">
        <v>212</v>
      </c>
    </row>
    <row r="43" spans="1:7" x14ac:dyDescent="0.25">
      <c r="A43" s="20" t="s">
        <v>22</v>
      </c>
      <c r="B43" s="8">
        <v>1.1076874077226329</v>
      </c>
      <c r="C43" s="8">
        <v>0.74184990203151779</v>
      </c>
      <c r="D43" s="8">
        <v>0</v>
      </c>
      <c r="E43" s="8">
        <v>2.5617132157044078</v>
      </c>
      <c r="G43" s="19" t="s">
        <v>213</v>
      </c>
    </row>
    <row r="44" spans="1:7" x14ac:dyDescent="0.25">
      <c r="A44" s="20" t="s">
        <v>42</v>
      </c>
      <c r="B44" s="8">
        <v>99.775485148737218</v>
      </c>
      <c r="C44" s="8">
        <v>0.28943040650824381</v>
      </c>
      <c r="D44" s="8">
        <v>99.208201551981062</v>
      </c>
      <c r="E44" s="8">
        <v>100</v>
      </c>
    </row>
    <row r="45" spans="1:7" x14ac:dyDescent="0.25">
      <c r="A45" s="20" t="s">
        <v>21</v>
      </c>
      <c r="B45" s="8">
        <v>0.22451485126277401</v>
      </c>
      <c r="C45" s="8">
        <v>0.29025794036646324</v>
      </c>
      <c r="D45" s="8">
        <v>0</v>
      </c>
      <c r="E45" s="8">
        <v>0.79342041438104194</v>
      </c>
    </row>
    <row r="49" spans="1:5" x14ac:dyDescent="0.25">
      <c r="A49" s="5" t="s">
        <v>276</v>
      </c>
    </row>
    <row r="50" spans="1:5" x14ac:dyDescent="0.25">
      <c r="A50" t="s">
        <v>64</v>
      </c>
      <c r="B50" s="7" t="s">
        <v>65</v>
      </c>
      <c r="C50" s="7" t="s">
        <v>34</v>
      </c>
      <c r="D50" s="14" t="s">
        <v>111</v>
      </c>
      <c r="E50" s="14"/>
    </row>
    <row r="51" spans="1:5" x14ac:dyDescent="0.25">
      <c r="A51" s="20" t="s">
        <v>9</v>
      </c>
      <c r="B51" s="8">
        <v>21.725176681422983</v>
      </c>
      <c r="C51" s="8">
        <v>1.5155557915954387</v>
      </c>
      <c r="D51" s="8">
        <v>18.754687329895923</v>
      </c>
      <c r="E51" s="8">
        <v>24.695666032950044</v>
      </c>
    </row>
    <row r="52" spans="1:5" x14ac:dyDescent="0.25">
      <c r="A52" s="21" t="s">
        <v>10</v>
      </c>
      <c r="B52" s="8">
        <v>15.477624859211801</v>
      </c>
      <c r="C52" s="8">
        <v>1.5459029945194622</v>
      </c>
      <c r="D52" s="8">
        <v>12.447654989953655</v>
      </c>
      <c r="E52" s="8">
        <v>18.507594728469947</v>
      </c>
    </row>
    <row r="53" spans="1:5" x14ac:dyDescent="0.25">
      <c r="A53" s="21" t="s">
        <v>101</v>
      </c>
      <c r="B53" s="8">
        <v>6.2425466228388835</v>
      </c>
      <c r="C53" s="8">
        <v>1.7939783088632237</v>
      </c>
      <c r="D53" s="8">
        <v>2.7263491374669648</v>
      </c>
      <c r="E53" s="8">
        <v>9.7587441082108022</v>
      </c>
    </row>
    <row r="54" spans="1:5" x14ac:dyDescent="0.25">
      <c r="A54" s="22" t="s">
        <v>126</v>
      </c>
      <c r="B54" s="8">
        <v>4.0231986916488625</v>
      </c>
      <c r="C54" s="8">
        <v>1.7542266014042152</v>
      </c>
      <c r="D54" s="8">
        <v>0.58491455289660088</v>
      </c>
      <c r="E54" s="8">
        <v>7.461482830401124</v>
      </c>
    </row>
    <row r="55" spans="1:5" x14ac:dyDescent="0.25">
      <c r="A55" s="22" t="s">
        <v>103</v>
      </c>
      <c r="B55" s="8">
        <v>2.2250842622428335</v>
      </c>
      <c r="C55" s="8">
        <v>1.3544378160608406</v>
      </c>
      <c r="D55" s="8">
        <v>0</v>
      </c>
      <c r="E55" s="8">
        <v>4.8797823817220811</v>
      </c>
    </row>
    <row r="56" spans="1:5" x14ac:dyDescent="0.25">
      <c r="A56" s="20" t="s">
        <v>11</v>
      </c>
      <c r="B56" s="8">
        <v>78.274823318577006</v>
      </c>
      <c r="C56" s="8">
        <v>1.5156834168396378</v>
      </c>
      <c r="D56" s="8">
        <v>75.304083821571311</v>
      </c>
      <c r="E56" s="8">
        <v>81.245562815582701</v>
      </c>
    </row>
    <row r="57" spans="1:5" x14ac:dyDescent="0.25">
      <c r="A57" s="21" t="s">
        <v>103</v>
      </c>
      <c r="B57" s="8">
        <v>32.929673970996959</v>
      </c>
      <c r="C57" s="8">
        <v>1.9795202754931349</v>
      </c>
      <c r="D57" s="8">
        <v>29.049814231030414</v>
      </c>
      <c r="E57" s="8">
        <v>36.8095337109635</v>
      </c>
    </row>
    <row r="58" spans="1:5" x14ac:dyDescent="0.25">
      <c r="A58" s="21" t="s">
        <v>38</v>
      </c>
      <c r="B58" s="8">
        <v>32.379230976374593</v>
      </c>
      <c r="C58" s="8">
        <v>2.7534180033668982</v>
      </c>
      <c r="D58" s="8">
        <v>26.982531689775474</v>
      </c>
      <c r="E58" s="8">
        <v>37.775930262973716</v>
      </c>
    </row>
    <row r="59" spans="1:5" x14ac:dyDescent="0.25">
      <c r="A59" s="21" t="s">
        <v>104</v>
      </c>
      <c r="B59" s="8">
        <v>9.847221161040089</v>
      </c>
      <c r="C59" s="8">
        <v>2.3572001206630748</v>
      </c>
      <c r="D59" s="8">
        <v>5.2271089245404623</v>
      </c>
      <c r="E59" s="8">
        <v>14.467333397539715</v>
      </c>
    </row>
    <row r="60" spans="1:5" x14ac:dyDescent="0.25">
      <c r="A60" s="22" t="s">
        <v>14</v>
      </c>
      <c r="B60" s="8">
        <v>1.3241903240356854</v>
      </c>
      <c r="C60" s="8">
        <v>1.6168621678885757</v>
      </c>
      <c r="D60" s="8">
        <v>0</v>
      </c>
      <c r="E60" s="8">
        <v>4.493240173097294</v>
      </c>
    </row>
    <row r="61" spans="1:5" x14ac:dyDescent="0.25">
      <c r="A61" s="22" t="s">
        <v>15</v>
      </c>
      <c r="B61" s="8">
        <v>8.5275949405380871</v>
      </c>
      <c r="C61" s="8">
        <v>2.3424413965760409</v>
      </c>
      <c r="D61" s="8">
        <v>3.9364098032490471</v>
      </c>
      <c r="E61" s="8">
        <v>13.118780077827127</v>
      </c>
    </row>
    <row r="62" spans="1:5" x14ac:dyDescent="0.25">
      <c r="A62" s="21" t="s">
        <v>105</v>
      </c>
      <c r="B62" s="8">
        <v>3.1072556713672594</v>
      </c>
      <c r="C62" s="8">
        <v>0.67582434992285367</v>
      </c>
      <c r="D62" s="8">
        <v>1.7826399455184663</v>
      </c>
      <c r="E62" s="8">
        <v>4.4318713972160531</v>
      </c>
    </row>
    <row r="63" spans="1:5" x14ac:dyDescent="0.25">
      <c r="A63" s="22" t="s">
        <v>17</v>
      </c>
      <c r="B63" s="8">
        <v>2.983798693809641</v>
      </c>
      <c r="C63" s="8">
        <v>0.6597789799943079</v>
      </c>
      <c r="D63" s="8">
        <v>1.6906318930207975</v>
      </c>
      <c r="E63" s="8">
        <v>4.2769654945984845</v>
      </c>
    </row>
    <row r="64" spans="1:5" x14ac:dyDescent="0.25">
      <c r="A64" s="22" t="s">
        <v>18</v>
      </c>
      <c r="B64" s="8">
        <v>0.12922105570215836</v>
      </c>
      <c r="C64" s="8">
        <v>0.1622528167297822</v>
      </c>
      <c r="D64" s="8">
        <v>0</v>
      </c>
      <c r="E64" s="8">
        <v>0.44723657649253146</v>
      </c>
    </row>
    <row r="65" spans="1:5" x14ac:dyDescent="0.25">
      <c r="A65" s="20" t="s">
        <v>41</v>
      </c>
      <c r="B65" s="8">
        <v>65.30545389574786</v>
      </c>
      <c r="C65" s="8">
        <v>2.80837206622975</v>
      </c>
      <c r="D65" s="8">
        <v>59.801044645937552</v>
      </c>
      <c r="E65" s="8">
        <v>70.809863145558168</v>
      </c>
    </row>
    <row r="66" spans="1:5" x14ac:dyDescent="0.25">
      <c r="A66" s="20" t="s">
        <v>106</v>
      </c>
      <c r="B66" s="8">
        <v>11.638522060193875</v>
      </c>
      <c r="C66" s="8">
        <v>2.4046455271368954</v>
      </c>
      <c r="D66" s="8">
        <v>6.9254168270055603</v>
      </c>
      <c r="E66" s="8">
        <v>16.35162729338219</v>
      </c>
    </row>
    <row r="67" spans="1:5" x14ac:dyDescent="0.25">
      <c r="A67" s="20" t="s">
        <v>22</v>
      </c>
      <c r="B67" s="8">
        <v>45.341107071956614</v>
      </c>
      <c r="C67" s="8">
        <v>2.1057960839745178</v>
      </c>
      <c r="D67" s="8">
        <v>41.213746747366557</v>
      </c>
      <c r="E67" s="8">
        <v>49.468467396546671</v>
      </c>
    </row>
    <row r="68" spans="1:5" x14ac:dyDescent="0.25">
      <c r="A68" s="20" t="s">
        <v>42</v>
      </c>
      <c r="B68" s="8">
        <v>87.04051640435722</v>
      </c>
      <c r="C68" s="8">
        <v>2.4125667987806909</v>
      </c>
      <c r="D68" s="8">
        <v>82.311885478747072</v>
      </c>
      <c r="E68" s="8">
        <v>91.769147329967367</v>
      </c>
    </row>
    <row r="69" spans="1:5" x14ac:dyDescent="0.25">
      <c r="A69" s="20" t="s">
        <v>21</v>
      </c>
      <c r="B69" s="8">
        <v>12.959483595642791</v>
      </c>
      <c r="C69" s="8">
        <v>2.4129146304232303</v>
      </c>
      <c r="D69" s="8">
        <v>8.2301709200132596</v>
      </c>
      <c r="E69" s="8">
        <v>17.688796271272324</v>
      </c>
    </row>
  </sheetData>
  <mergeCells count="10">
    <mergeCell ref="AB2:AC2"/>
    <mergeCell ref="AH2:AI2"/>
    <mergeCell ref="AN2:AO2"/>
    <mergeCell ref="AT2:AU2"/>
    <mergeCell ref="D2:E2"/>
    <mergeCell ref="D26:E26"/>
    <mergeCell ref="D50:E50"/>
    <mergeCell ref="J2:K2"/>
    <mergeCell ref="P2:Q2"/>
    <mergeCell ref="V2:W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BB4C1-7CF6-4FAB-B23B-01A7452359D8}">
  <dimension ref="A1:AU69"/>
  <sheetViews>
    <sheetView workbookViewId="0"/>
  </sheetViews>
  <sheetFormatPr defaultRowHeight="15" x14ac:dyDescent="0.25"/>
  <cols>
    <col min="1" max="1" width="21.42578125" customWidth="1"/>
  </cols>
  <sheetData>
    <row r="1" spans="1:47" x14ac:dyDescent="0.25">
      <c r="A1" s="5" t="s">
        <v>299</v>
      </c>
      <c r="G1" s="12" t="s">
        <v>301</v>
      </c>
      <c r="I1" s="12" t="s">
        <v>302</v>
      </c>
      <c r="M1" s="12" t="s">
        <v>305</v>
      </c>
      <c r="O1" s="12" t="s">
        <v>110</v>
      </c>
      <c r="S1" s="12" t="s">
        <v>256</v>
      </c>
      <c r="U1" s="12" t="s">
        <v>249</v>
      </c>
      <c r="Y1" s="12" t="s">
        <v>306</v>
      </c>
      <c r="AA1" s="12" t="s">
        <v>110</v>
      </c>
      <c r="AE1" s="12" t="s">
        <v>307</v>
      </c>
      <c r="AG1" s="12" t="s">
        <v>308</v>
      </c>
      <c r="AK1" s="12" t="s">
        <v>309</v>
      </c>
      <c r="AM1" s="12" t="s">
        <v>110</v>
      </c>
      <c r="AQ1" s="12" t="s">
        <v>310</v>
      </c>
      <c r="AS1" s="12" t="s">
        <v>311</v>
      </c>
    </row>
    <row r="2" spans="1:47" x14ac:dyDescent="0.25">
      <c r="A2" t="s">
        <v>64</v>
      </c>
      <c r="B2" s="7" t="s">
        <v>65</v>
      </c>
      <c r="C2" s="7" t="s">
        <v>34</v>
      </c>
      <c r="D2" s="14" t="s">
        <v>111</v>
      </c>
      <c r="E2" s="14"/>
      <c r="G2" t="s">
        <v>64</v>
      </c>
      <c r="H2" s="7" t="s">
        <v>65</v>
      </c>
      <c r="I2" s="7" t="s">
        <v>34</v>
      </c>
      <c r="J2" s="14" t="s">
        <v>111</v>
      </c>
      <c r="K2" s="14"/>
      <c r="M2" t="s">
        <v>64</v>
      </c>
      <c r="N2" s="7" t="s">
        <v>65</v>
      </c>
      <c r="O2" s="7" t="s">
        <v>34</v>
      </c>
      <c r="P2" s="14" t="s">
        <v>111</v>
      </c>
      <c r="Q2" s="14"/>
      <c r="S2" t="s">
        <v>64</v>
      </c>
      <c r="T2" s="7" t="s">
        <v>65</v>
      </c>
      <c r="U2" s="7" t="s">
        <v>34</v>
      </c>
      <c r="V2" s="14" t="s">
        <v>111</v>
      </c>
      <c r="W2" s="14"/>
      <c r="Y2" t="s">
        <v>64</v>
      </c>
      <c r="Z2" s="7" t="s">
        <v>65</v>
      </c>
      <c r="AA2" s="7" t="s">
        <v>34</v>
      </c>
      <c r="AB2" s="14" t="s">
        <v>111</v>
      </c>
      <c r="AC2" s="14"/>
      <c r="AE2" t="s">
        <v>64</v>
      </c>
      <c r="AF2" s="7" t="s">
        <v>65</v>
      </c>
      <c r="AG2" s="7" t="s">
        <v>34</v>
      </c>
      <c r="AH2" s="14" t="s">
        <v>111</v>
      </c>
      <c r="AI2" s="14"/>
      <c r="AK2" t="s">
        <v>64</v>
      </c>
      <c r="AL2" s="7" t="s">
        <v>65</v>
      </c>
      <c r="AM2" s="7" t="s">
        <v>34</v>
      </c>
      <c r="AN2" s="14" t="s">
        <v>111</v>
      </c>
      <c r="AO2" s="14"/>
      <c r="AQ2" t="s">
        <v>64</v>
      </c>
      <c r="AR2" s="7" t="s">
        <v>65</v>
      </c>
      <c r="AS2" s="7" t="s">
        <v>34</v>
      </c>
      <c r="AT2" s="14" t="s">
        <v>111</v>
      </c>
      <c r="AU2" s="14"/>
    </row>
    <row r="3" spans="1:47" x14ac:dyDescent="0.25">
      <c r="A3" s="20" t="s">
        <v>9</v>
      </c>
      <c r="B3" s="8">
        <v>79.049154525790996</v>
      </c>
      <c r="C3" s="8">
        <v>0.66605451274438243</v>
      </c>
      <c r="D3" s="8">
        <v>77.743687680812002</v>
      </c>
      <c r="E3" s="8">
        <v>80.354621370769991</v>
      </c>
      <c r="G3" s="20" t="s">
        <v>9</v>
      </c>
      <c r="H3" s="11">
        <v>99.680999999999997</v>
      </c>
      <c r="I3" s="11">
        <v>0.46700000000000003</v>
      </c>
      <c r="J3" s="11">
        <v>98.298000000000002</v>
      </c>
      <c r="K3" s="11">
        <v>100</v>
      </c>
      <c r="M3" s="20" t="s">
        <v>9</v>
      </c>
      <c r="N3" s="11">
        <v>99.433999999999997</v>
      </c>
      <c r="O3" s="11">
        <v>0.80500000000000005</v>
      </c>
      <c r="P3" s="11">
        <v>97.1</v>
      </c>
      <c r="Q3" s="11">
        <v>100</v>
      </c>
      <c r="S3" s="20" t="s">
        <v>9</v>
      </c>
      <c r="T3" s="11">
        <v>95.876000000000005</v>
      </c>
      <c r="U3" s="11">
        <v>1.823</v>
      </c>
      <c r="V3" s="11">
        <v>91.8</v>
      </c>
      <c r="W3" s="11">
        <v>98.9</v>
      </c>
      <c r="Y3" s="20" t="s">
        <v>9</v>
      </c>
      <c r="Z3" s="11">
        <v>43.103000000000002</v>
      </c>
      <c r="AA3" s="11">
        <v>4.3040000000000003</v>
      </c>
      <c r="AB3" s="11">
        <v>34.799999999999997</v>
      </c>
      <c r="AC3" s="11">
        <v>51.7</v>
      </c>
      <c r="AE3" s="20" t="s">
        <v>9</v>
      </c>
      <c r="AF3" s="11">
        <v>3.7989999999999999</v>
      </c>
      <c r="AG3" s="11">
        <v>2.181</v>
      </c>
      <c r="AH3" s="11">
        <v>0.7</v>
      </c>
      <c r="AI3" s="11">
        <v>9.1999999999999993</v>
      </c>
      <c r="AK3" s="20" t="s">
        <v>9</v>
      </c>
      <c r="AL3" s="11">
        <v>0.92</v>
      </c>
      <c r="AM3" s="11">
        <v>0.96499999999999997</v>
      </c>
      <c r="AN3" s="11">
        <v>0</v>
      </c>
      <c r="AO3" s="11">
        <v>3.5</v>
      </c>
      <c r="AQ3" s="20" t="s">
        <v>9</v>
      </c>
      <c r="AR3" s="8">
        <v>0.90100000000000002</v>
      </c>
      <c r="AS3" s="8">
        <v>1.3</v>
      </c>
      <c r="AT3" s="8">
        <v>0</v>
      </c>
      <c r="AU3" s="8">
        <v>4.4000000000000004</v>
      </c>
    </row>
    <row r="4" spans="1:47" x14ac:dyDescent="0.25">
      <c r="A4" s="21" t="s">
        <v>10</v>
      </c>
      <c r="B4" s="8">
        <v>68.510056819597054</v>
      </c>
      <c r="C4" s="8">
        <v>3.4422222872792245</v>
      </c>
      <c r="D4" s="8">
        <v>61.763301136529776</v>
      </c>
      <c r="E4" s="8">
        <v>75.256812502664332</v>
      </c>
      <c r="G4" s="21" t="s">
        <v>10</v>
      </c>
      <c r="H4" s="11">
        <v>94.799000000000007</v>
      </c>
      <c r="I4" s="11">
        <v>5.7249999999999996</v>
      </c>
      <c r="J4" s="11">
        <v>81.2</v>
      </c>
      <c r="K4" s="11">
        <v>100</v>
      </c>
      <c r="M4" s="21" t="s">
        <v>10</v>
      </c>
      <c r="N4" s="11">
        <v>91.347999999999999</v>
      </c>
      <c r="O4" s="11">
        <v>6.2009999999999996</v>
      </c>
      <c r="P4" s="11">
        <v>77.2</v>
      </c>
      <c r="Q4" s="11">
        <v>99.1</v>
      </c>
      <c r="S4" s="21" t="s">
        <v>10</v>
      </c>
      <c r="T4" s="11">
        <v>70.477000000000004</v>
      </c>
      <c r="U4" s="11">
        <v>6.4509999999999996</v>
      </c>
      <c r="V4" s="11">
        <v>57.997999999999998</v>
      </c>
      <c r="W4" s="11">
        <v>82.9</v>
      </c>
      <c r="Y4" s="21" t="s">
        <v>10</v>
      </c>
      <c r="Z4" s="11">
        <v>22.047999999999998</v>
      </c>
      <c r="AA4" s="11">
        <v>4.0119999999999996</v>
      </c>
      <c r="AB4" s="11">
        <v>14</v>
      </c>
      <c r="AC4" s="11">
        <v>29.6</v>
      </c>
      <c r="AE4" s="21" t="s">
        <v>10</v>
      </c>
      <c r="AF4" s="11">
        <v>1.276</v>
      </c>
      <c r="AG4" s="11">
        <v>1.19</v>
      </c>
      <c r="AH4" s="11">
        <v>0</v>
      </c>
      <c r="AI4" s="11">
        <v>4.0999999999999996</v>
      </c>
      <c r="AK4" s="21" t="s">
        <v>10</v>
      </c>
      <c r="AL4" s="11">
        <v>0.35499999999999998</v>
      </c>
      <c r="AM4" s="11">
        <v>0.48199999999999998</v>
      </c>
      <c r="AN4" s="11">
        <v>0</v>
      </c>
      <c r="AO4" s="11">
        <v>1.7</v>
      </c>
      <c r="AQ4" s="21" t="s">
        <v>10</v>
      </c>
      <c r="AR4" s="8">
        <v>0.36399999999999999</v>
      </c>
      <c r="AS4" s="8">
        <v>0.61299999999999999</v>
      </c>
      <c r="AT4" s="8">
        <v>0</v>
      </c>
      <c r="AU4" s="8">
        <v>2.1</v>
      </c>
    </row>
    <row r="5" spans="1:47" x14ac:dyDescent="0.25">
      <c r="A5" s="21" t="s">
        <v>101</v>
      </c>
      <c r="B5" s="8">
        <v>10.498052585276721</v>
      </c>
      <c r="C5" s="8">
        <v>3.4799604781073761</v>
      </c>
      <c r="D5" s="8">
        <v>3.6773300481862634</v>
      </c>
      <c r="E5" s="8">
        <v>17.318775122367178</v>
      </c>
      <c r="G5" s="21" t="s">
        <v>101</v>
      </c>
      <c r="H5" s="11">
        <v>4.8120000000000003</v>
      </c>
      <c r="I5" s="11">
        <v>5.7089999999999996</v>
      </c>
      <c r="J5" s="11">
        <v>0</v>
      </c>
      <c r="K5" s="11">
        <v>18.399999999999999</v>
      </c>
      <c r="M5" s="21" t="s">
        <v>101</v>
      </c>
      <c r="N5" s="11">
        <v>8.0250000000000004</v>
      </c>
      <c r="O5" s="11">
        <v>6.2309999999999999</v>
      </c>
      <c r="P5" s="11">
        <v>0.1</v>
      </c>
      <c r="Q5" s="11">
        <v>22.4</v>
      </c>
      <c r="S5" s="21" t="s">
        <v>101</v>
      </c>
      <c r="T5" s="11">
        <v>25.372</v>
      </c>
      <c r="U5" s="11">
        <v>6.63</v>
      </c>
      <c r="V5" s="11">
        <v>12.5</v>
      </c>
      <c r="W5" s="11">
        <v>38.299999999999997</v>
      </c>
      <c r="Y5" s="21" t="s">
        <v>101</v>
      </c>
      <c r="Z5" s="11">
        <v>21.053999999999998</v>
      </c>
      <c r="AA5" s="11">
        <v>5.1379999999999999</v>
      </c>
      <c r="AB5" s="11">
        <v>11.8</v>
      </c>
      <c r="AC5" s="11">
        <v>31.5</v>
      </c>
      <c r="AE5" s="21" t="s">
        <v>101</v>
      </c>
      <c r="AF5" s="11">
        <v>2.5219999999999998</v>
      </c>
      <c r="AG5" s="11">
        <v>2.2320000000000002</v>
      </c>
      <c r="AH5" s="11">
        <v>0</v>
      </c>
      <c r="AI5" s="11">
        <v>7.9</v>
      </c>
      <c r="AK5" s="21" t="s">
        <v>101</v>
      </c>
      <c r="AL5" s="11">
        <v>0.57599999999999996</v>
      </c>
      <c r="AM5" s="11">
        <v>0.88600000000000001</v>
      </c>
      <c r="AN5" s="11">
        <v>0</v>
      </c>
      <c r="AO5" s="11">
        <v>3.1019999999999999</v>
      </c>
      <c r="AQ5" s="21" t="s">
        <v>101</v>
      </c>
      <c r="AR5" s="8">
        <v>0.55100000000000005</v>
      </c>
      <c r="AS5" s="8">
        <v>1.1559999999999999</v>
      </c>
      <c r="AT5" s="8">
        <v>0</v>
      </c>
      <c r="AU5" s="8">
        <v>3.9</v>
      </c>
    </row>
    <row r="6" spans="1:47" x14ac:dyDescent="0.25">
      <c r="A6" s="22" t="s">
        <v>126</v>
      </c>
      <c r="B6" s="8">
        <v>6.876836845162364</v>
      </c>
      <c r="C6" s="8">
        <v>3.5271142474527446</v>
      </c>
      <c r="D6" s="8">
        <v>0</v>
      </c>
      <c r="E6" s="8">
        <v>13.789980770169743</v>
      </c>
      <c r="G6" s="22" t="s">
        <v>126</v>
      </c>
      <c r="H6" s="11">
        <v>4.7359999999999998</v>
      </c>
      <c r="I6" s="11">
        <v>5.7069999999999999</v>
      </c>
      <c r="J6" s="11">
        <v>0</v>
      </c>
      <c r="K6" s="11">
        <v>18.399999999999999</v>
      </c>
      <c r="M6" s="22" t="s">
        <v>126</v>
      </c>
      <c r="N6" s="11">
        <v>7.4950000000000001</v>
      </c>
      <c r="O6" s="11">
        <v>6.3079999999999998</v>
      </c>
      <c r="P6" s="11">
        <v>0</v>
      </c>
      <c r="Q6" s="11">
        <v>22.102</v>
      </c>
      <c r="S6" s="22" t="s">
        <v>126</v>
      </c>
      <c r="T6" s="11">
        <v>12.189</v>
      </c>
      <c r="U6" s="11">
        <v>6.7009999999999996</v>
      </c>
      <c r="V6" s="11">
        <v>0</v>
      </c>
      <c r="W6" s="11">
        <v>25.5</v>
      </c>
      <c r="Y6" s="22" t="s">
        <v>126</v>
      </c>
      <c r="Z6" s="11">
        <v>6.6189999999999998</v>
      </c>
      <c r="AA6" s="11">
        <v>5.6310000000000002</v>
      </c>
      <c r="AB6" s="11">
        <v>0</v>
      </c>
      <c r="AC6" s="11">
        <v>19.501999999999999</v>
      </c>
      <c r="AE6" s="22" t="s">
        <v>126</v>
      </c>
      <c r="AF6" s="11">
        <v>1.732</v>
      </c>
      <c r="AG6" s="11">
        <v>1.909</v>
      </c>
      <c r="AH6" s="11">
        <v>0</v>
      </c>
      <c r="AI6" s="11">
        <v>6.7</v>
      </c>
      <c r="AK6" s="22" t="s">
        <v>126</v>
      </c>
      <c r="AL6" s="11">
        <v>0.52900000000000003</v>
      </c>
      <c r="AM6" s="11">
        <v>0.86799999999999999</v>
      </c>
      <c r="AN6" s="11">
        <v>0</v>
      </c>
      <c r="AO6" s="11">
        <v>3.1</v>
      </c>
      <c r="AQ6" s="22" t="s">
        <v>126</v>
      </c>
      <c r="AR6" s="8">
        <v>0.46500000000000002</v>
      </c>
      <c r="AS6" s="8">
        <v>1.0980000000000001</v>
      </c>
      <c r="AT6" s="8">
        <v>0</v>
      </c>
      <c r="AU6" s="8">
        <v>3.6019999999999999</v>
      </c>
    </row>
    <row r="7" spans="1:47" x14ac:dyDescent="0.25">
      <c r="A7" s="22" t="s">
        <v>103</v>
      </c>
      <c r="B7" s="8">
        <v>3.62314091917629</v>
      </c>
      <c r="C7" s="8">
        <v>0.82262669914605779</v>
      </c>
      <c r="D7" s="8">
        <v>2.0107925888500167</v>
      </c>
      <c r="E7" s="8">
        <v>5.2354892495025638</v>
      </c>
      <c r="G7" s="22" t="s">
        <v>103</v>
      </c>
      <c r="H7" s="11">
        <v>8.3000000000000004E-2</v>
      </c>
      <c r="I7" s="11">
        <v>0.307</v>
      </c>
      <c r="J7" s="11">
        <v>0</v>
      </c>
      <c r="K7" s="11">
        <v>0.8</v>
      </c>
      <c r="M7" s="22" t="s">
        <v>103</v>
      </c>
      <c r="N7" s="11">
        <v>0.53300000000000003</v>
      </c>
      <c r="O7" s="11">
        <v>1.05</v>
      </c>
      <c r="P7" s="11">
        <v>0</v>
      </c>
      <c r="Q7" s="11">
        <v>3.7</v>
      </c>
      <c r="S7" s="22" t="s">
        <v>103</v>
      </c>
      <c r="T7" s="11">
        <v>13.169</v>
      </c>
      <c r="U7" s="11">
        <v>3.125</v>
      </c>
      <c r="V7" s="11">
        <v>7.4</v>
      </c>
      <c r="W7" s="11">
        <v>19.7</v>
      </c>
      <c r="Y7" s="22" t="s">
        <v>103</v>
      </c>
      <c r="Z7" s="11">
        <v>14.436999999999999</v>
      </c>
      <c r="AA7" s="11">
        <v>4.1769999999999996</v>
      </c>
      <c r="AB7" s="11">
        <v>6.5</v>
      </c>
      <c r="AC7" s="11">
        <v>22.8</v>
      </c>
      <c r="AE7" s="22" t="s">
        <v>103</v>
      </c>
      <c r="AF7" s="11">
        <v>0.79700000000000004</v>
      </c>
      <c r="AG7" s="11">
        <v>1.554</v>
      </c>
      <c r="AH7" s="11">
        <v>0</v>
      </c>
      <c r="AI7" s="11">
        <v>5.5</v>
      </c>
      <c r="AK7" s="22" t="s">
        <v>103</v>
      </c>
      <c r="AL7" s="11">
        <v>0.06</v>
      </c>
      <c r="AM7" s="11">
        <v>0.19800000000000001</v>
      </c>
      <c r="AN7" s="11">
        <v>0</v>
      </c>
      <c r="AO7" s="11">
        <v>0.6</v>
      </c>
      <c r="AQ7" s="22" t="s">
        <v>103</v>
      </c>
      <c r="AR7" s="8">
        <v>9.8000000000000004E-2</v>
      </c>
      <c r="AS7" s="8">
        <v>0.35799999999999998</v>
      </c>
      <c r="AT7" s="8">
        <v>0</v>
      </c>
      <c r="AU7" s="8">
        <v>1.1000000000000001</v>
      </c>
    </row>
    <row r="8" spans="1:47" x14ac:dyDescent="0.25">
      <c r="A8" s="20" t="s">
        <v>11</v>
      </c>
      <c r="B8" s="8">
        <v>20.950845474209004</v>
      </c>
      <c r="C8" s="8">
        <v>0.66639291162240621</v>
      </c>
      <c r="D8" s="8">
        <v>19.644715367429086</v>
      </c>
      <c r="E8" s="8">
        <v>22.256975580988922</v>
      </c>
      <c r="G8" s="20" t="s">
        <v>11</v>
      </c>
      <c r="H8" s="11">
        <v>0.31900000000000001</v>
      </c>
      <c r="I8" s="11">
        <v>0.46800000000000003</v>
      </c>
      <c r="J8" s="11">
        <v>0</v>
      </c>
      <c r="K8" s="11">
        <v>1.7</v>
      </c>
      <c r="M8" s="20" t="s">
        <v>11</v>
      </c>
      <c r="N8" s="11">
        <v>0.56599999999999995</v>
      </c>
      <c r="O8" s="11">
        <v>0.80600000000000005</v>
      </c>
      <c r="P8" s="11">
        <v>0</v>
      </c>
      <c r="Q8" s="11">
        <v>2.802</v>
      </c>
      <c r="S8" s="20" t="s">
        <v>11</v>
      </c>
      <c r="T8" s="11">
        <v>4.1239999999999997</v>
      </c>
      <c r="U8" s="11">
        <v>1.823</v>
      </c>
      <c r="V8" s="11">
        <v>1.1000000000000001</v>
      </c>
      <c r="W8" s="11">
        <v>8.1999999999999993</v>
      </c>
      <c r="Y8" s="20" t="s">
        <v>11</v>
      </c>
      <c r="Z8" s="11">
        <v>56.896999999999998</v>
      </c>
      <c r="AA8" s="11">
        <v>4.3040000000000003</v>
      </c>
      <c r="AB8" s="11">
        <v>48.3</v>
      </c>
      <c r="AC8" s="11">
        <v>65.2</v>
      </c>
      <c r="AE8" s="20" t="s">
        <v>11</v>
      </c>
      <c r="AF8" s="11">
        <v>96.200999999999993</v>
      </c>
      <c r="AG8" s="11">
        <v>2.181</v>
      </c>
      <c r="AH8" s="11">
        <v>90.8</v>
      </c>
      <c r="AI8" s="11">
        <v>99.3</v>
      </c>
      <c r="AK8" s="20" t="s">
        <v>11</v>
      </c>
      <c r="AL8" s="11">
        <v>99.08</v>
      </c>
      <c r="AM8" s="11">
        <v>0.96499999999999997</v>
      </c>
      <c r="AN8" s="11">
        <v>96.5</v>
      </c>
      <c r="AO8" s="11">
        <v>100</v>
      </c>
      <c r="AQ8" s="20" t="s">
        <v>11</v>
      </c>
      <c r="AR8" s="8">
        <v>99.099000000000004</v>
      </c>
      <c r="AS8" s="8">
        <v>1.3</v>
      </c>
      <c r="AT8" s="8">
        <v>95.6</v>
      </c>
      <c r="AU8" s="8">
        <v>100</v>
      </c>
    </row>
    <row r="9" spans="1:47" x14ac:dyDescent="0.25">
      <c r="A9" s="21" t="s">
        <v>103</v>
      </c>
      <c r="B9" s="8">
        <v>10.36423018562264</v>
      </c>
      <c r="C9" s="8">
        <v>0.51213639907695108</v>
      </c>
      <c r="D9" s="8">
        <v>9.3604428434318159</v>
      </c>
      <c r="E9" s="8">
        <v>11.368017527813464</v>
      </c>
      <c r="G9" s="21" t="s">
        <v>103</v>
      </c>
      <c r="H9" s="11">
        <v>0.126</v>
      </c>
      <c r="I9" s="11">
        <v>0.27800000000000002</v>
      </c>
      <c r="J9" s="11">
        <v>0</v>
      </c>
      <c r="K9" s="11">
        <v>0.9</v>
      </c>
      <c r="M9" s="21" t="s">
        <v>103</v>
      </c>
      <c r="N9" s="11">
        <v>0.11899999999999999</v>
      </c>
      <c r="O9" s="11">
        <v>0.26300000000000001</v>
      </c>
      <c r="P9" s="11">
        <v>0</v>
      </c>
      <c r="Q9" s="11">
        <v>0.9</v>
      </c>
      <c r="S9" s="21" t="s">
        <v>103</v>
      </c>
      <c r="T9" s="11">
        <v>0.29299999999999998</v>
      </c>
      <c r="U9" s="11">
        <v>0.60899999999999999</v>
      </c>
      <c r="V9" s="11">
        <v>0</v>
      </c>
      <c r="W9" s="11">
        <v>2.2000000000000002</v>
      </c>
      <c r="Y9" s="21" t="s">
        <v>103</v>
      </c>
      <c r="Z9" s="11">
        <v>16.795999999999999</v>
      </c>
      <c r="AA9" s="11">
        <v>3.266</v>
      </c>
      <c r="AB9" s="11">
        <v>10.7</v>
      </c>
      <c r="AC9" s="11">
        <v>23.501999999999999</v>
      </c>
      <c r="AE9" s="21" t="s">
        <v>103</v>
      </c>
      <c r="AF9" s="11">
        <v>45.825000000000003</v>
      </c>
      <c r="AG9" s="11">
        <v>4.2110000000000003</v>
      </c>
      <c r="AH9" s="11">
        <v>37.9</v>
      </c>
      <c r="AI9" s="11">
        <v>54.1</v>
      </c>
      <c r="AK9" s="21" t="s">
        <v>103</v>
      </c>
      <c r="AL9" s="11">
        <v>62.328000000000003</v>
      </c>
      <c r="AM9" s="11">
        <v>3.9430000000000001</v>
      </c>
      <c r="AN9" s="11">
        <v>54.5</v>
      </c>
      <c r="AO9" s="11">
        <v>70</v>
      </c>
      <c r="AQ9" s="21" t="s">
        <v>103</v>
      </c>
      <c r="AR9" s="8">
        <v>74.394000000000005</v>
      </c>
      <c r="AS9" s="8">
        <v>4.41</v>
      </c>
      <c r="AT9" s="8">
        <v>65.5</v>
      </c>
      <c r="AU9" s="8">
        <v>82.8</v>
      </c>
    </row>
    <row r="10" spans="1:47" x14ac:dyDescent="0.25">
      <c r="A10" s="21" t="s">
        <v>38</v>
      </c>
      <c r="B10" s="8">
        <v>7.7765030252973233</v>
      </c>
      <c r="C10" s="8">
        <v>0.80408059149543676</v>
      </c>
      <c r="D10" s="8">
        <v>6.2005050659662668</v>
      </c>
      <c r="E10" s="8">
        <v>9.3525009846283798</v>
      </c>
      <c r="G10" s="21" t="s">
        <v>38</v>
      </c>
      <c r="H10" s="11">
        <v>0.09</v>
      </c>
      <c r="I10" s="11">
        <v>0.23899999999999999</v>
      </c>
      <c r="J10" s="11">
        <v>0</v>
      </c>
      <c r="K10" s="11">
        <v>0.7</v>
      </c>
      <c r="M10" s="21" t="s">
        <v>38</v>
      </c>
      <c r="N10" s="11">
        <v>0.32500000000000001</v>
      </c>
      <c r="O10" s="11">
        <v>0.72399999999999998</v>
      </c>
      <c r="P10" s="11">
        <v>0</v>
      </c>
      <c r="Q10" s="11">
        <v>2.6</v>
      </c>
      <c r="S10" s="21" t="s">
        <v>38</v>
      </c>
      <c r="T10" s="11">
        <v>2.9980000000000002</v>
      </c>
      <c r="U10" s="11">
        <v>2.0190000000000001</v>
      </c>
      <c r="V10" s="11">
        <v>0</v>
      </c>
      <c r="W10" s="11">
        <v>7.2</v>
      </c>
      <c r="Y10" s="21" t="s">
        <v>38</v>
      </c>
      <c r="Z10" s="11">
        <v>28.045999999999999</v>
      </c>
      <c r="AA10" s="11">
        <v>4.9039999999999999</v>
      </c>
      <c r="AB10" s="11">
        <v>18.5</v>
      </c>
      <c r="AC10" s="11">
        <v>37.799999999999997</v>
      </c>
      <c r="AE10" s="21" t="s">
        <v>38</v>
      </c>
      <c r="AF10" s="11">
        <v>42.494</v>
      </c>
      <c r="AG10" s="11">
        <v>5.6929999999999996</v>
      </c>
      <c r="AH10" s="11">
        <v>30.5</v>
      </c>
      <c r="AI10" s="11">
        <v>52.6</v>
      </c>
      <c r="AK10" s="21" t="s">
        <v>38</v>
      </c>
      <c r="AL10" s="11">
        <v>31.756</v>
      </c>
      <c r="AM10" s="11">
        <v>4.58</v>
      </c>
      <c r="AN10" s="11">
        <v>22.3</v>
      </c>
      <c r="AO10" s="11">
        <v>40.4</v>
      </c>
      <c r="AQ10" s="21" t="s">
        <v>38</v>
      </c>
      <c r="AR10" s="8">
        <v>0.83299999999999996</v>
      </c>
      <c r="AS10" s="8">
        <v>1.895</v>
      </c>
      <c r="AT10" s="8">
        <v>0</v>
      </c>
      <c r="AU10" s="8">
        <v>7.1</v>
      </c>
    </row>
    <row r="11" spans="1:47" x14ac:dyDescent="0.25">
      <c r="A11" s="21" t="s">
        <v>104</v>
      </c>
      <c r="B11" s="8">
        <v>2.3098060621518517</v>
      </c>
      <c r="C11" s="8">
        <v>0.53767494157268081</v>
      </c>
      <c r="D11" s="8">
        <v>1.2559631766693973</v>
      </c>
      <c r="E11" s="8">
        <v>3.3636489476343061</v>
      </c>
      <c r="G11" s="21" t="s">
        <v>104</v>
      </c>
      <c r="H11" s="11">
        <v>9.4E-2</v>
      </c>
      <c r="I11" s="11">
        <v>0.216</v>
      </c>
      <c r="J11" s="11">
        <v>0</v>
      </c>
      <c r="K11" s="11">
        <v>0.7</v>
      </c>
      <c r="M11" s="21" t="s">
        <v>104</v>
      </c>
      <c r="N11" s="11">
        <v>0.10199999999999999</v>
      </c>
      <c r="O11" s="11">
        <v>0.23200000000000001</v>
      </c>
      <c r="P11" s="11">
        <v>0</v>
      </c>
      <c r="Q11" s="11">
        <v>0.8</v>
      </c>
      <c r="S11" s="21" t="s">
        <v>104</v>
      </c>
      <c r="T11" s="11">
        <v>0.78800000000000003</v>
      </c>
      <c r="U11" s="11">
        <v>1.196</v>
      </c>
      <c r="V11" s="11">
        <v>0</v>
      </c>
      <c r="W11" s="11">
        <v>4.0999999999999996</v>
      </c>
      <c r="Y11" s="21" t="s">
        <v>104</v>
      </c>
      <c r="Z11" s="11">
        <v>11.087</v>
      </c>
      <c r="AA11" s="11">
        <v>3.75</v>
      </c>
      <c r="AB11" s="11">
        <v>4.3</v>
      </c>
      <c r="AC11" s="11">
        <v>19</v>
      </c>
      <c r="AE11" s="21" t="s">
        <v>104</v>
      </c>
      <c r="AF11" s="11">
        <v>4.1580000000000004</v>
      </c>
      <c r="AG11" s="11">
        <v>4.3250000000000002</v>
      </c>
      <c r="AH11" s="11">
        <v>0</v>
      </c>
      <c r="AI11" s="11">
        <v>14.4</v>
      </c>
      <c r="AK11" s="21" t="s">
        <v>104</v>
      </c>
      <c r="AL11" s="11">
        <v>2.3820000000000001</v>
      </c>
      <c r="AM11" s="11">
        <v>2.8540000000000001</v>
      </c>
      <c r="AN11" s="11">
        <v>0</v>
      </c>
      <c r="AO11" s="11">
        <v>9.6</v>
      </c>
      <c r="AQ11" s="21" t="s">
        <v>104</v>
      </c>
      <c r="AR11" s="8">
        <v>23.475000000000001</v>
      </c>
      <c r="AS11" s="8">
        <v>4.702</v>
      </c>
      <c r="AT11" s="8">
        <v>14</v>
      </c>
      <c r="AU11" s="8">
        <v>32.6</v>
      </c>
    </row>
    <row r="12" spans="1:47" x14ac:dyDescent="0.25">
      <c r="A12" s="22" t="s">
        <v>14</v>
      </c>
      <c r="B12" s="8">
        <v>1.3732049630219298</v>
      </c>
      <c r="C12" s="8">
        <v>0.44254618488333874</v>
      </c>
      <c r="D12" s="8">
        <v>0.50581444065058589</v>
      </c>
      <c r="E12" s="8">
        <v>2.2405954853932739</v>
      </c>
      <c r="G12" s="22" t="s">
        <v>14</v>
      </c>
      <c r="H12" s="11">
        <v>2.1000000000000001E-2</v>
      </c>
      <c r="I12" s="11">
        <v>9.9000000000000005E-2</v>
      </c>
      <c r="J12" s="11">
        <v>0</v>
      </c>
      <c r="K12" s="11">
        <v>0.2</v>
      </c>
      <c r="M12" s="22" t="s">
        <v>14</v>
      </c>
      <c r="N12" s="11">
        <v>1.6E-2</v>
      </c>
      <c r="O12" s="11">
        <v>6.5000000000000002E-2</v>
      </c>
      <c r="P12" s="11">
        <v>0</v>
      </c>
      <c r="Q12" s="11">
        <v>0.1</v>
      </c>
      <c r="S12" s="22" t="s">
        <v>14</v>
      </c>
      <c r="T12" s="11">
        <v>0.16500000000000001</v>
      </c>
      <c r="U12" s="11">
        <v>0.56399999999999995</v>
      </c>
      <c r="V12" s="11">
        <v>0</v>
      </c>
      <c r="W12" s="11">
        <v>2.1</v>
      </c>
      <c r="Y12" s="22" t="s">
        <v>14</v>
      </c>
      <c r="Z12" s="11">
        <v>9.5139999999999993</v>
      </c>
      <c r="AA12" s="11">
        <v>3.468</v>
      </c>
      <c r="AB12" s="11">
        <v>3</v>
      </c>
      <c r="AC12" s="11">
        <v>16.600000000000001</v>
      </c>
      <c r="AE12" s="22" t="s">
        <v>14</v>
      </c>
      <c r="AF12" s="11">
        <v>1.8049999999999999</v>
      </c>
      <c r="AG12" s="11">
        <v>3.54</v>
      </c>
      <c r="AH12" s="11">
        <v>0</v>
      </c>
      <c r="AI12" s="11">
        <v>12.202</v>
      </c>
      <c r="AK12" s="22" t="s">
        <v>14</v>
      </c>
      <c r="AL12" s="11">
        <v>1.1779999999999999</v>
      </c>
      <c r="AM12" s="11">
        <v>2.371</v>
      </c>
      <c r="AN12" s="11">
        <v>0</v>
      </c>
      <c r="AO12" s="11">
        <v>8.3000000000000007</v>
      </c>
      <c r="AQ12" s="22" t="s">
        <v>14</v>
      </c>
      <c r="AR12" s="8">
        <v>8.343</v>
      </c>
      <c r="AS12" s="8">
        <v>3.6859999999999999</v>
      </c>
      <c r="AT12" s="8">
        <v>0</v>
      </c>
      <c r="AU12" s="8">
        <v>15.8</v>
      </c>
    </row>
    <row r="13" spans="1:47" x14ac:dyDescent="0.25">
      <c r="A13" s="22" t="s">
        <v>15</v>
      </c>
      <c r="B13" s="8">
        <v>0.94157163623103635</v>
      </c>
      <c r="C13" s="8">
        <v>0.38635429959690087</v>
      </c>
      <c r="D13" s="8">
        <v>0.1843172090211106</v>
      </c>
      <c r="E13" s="8">
        <v>1.6988260634409622</v>
      </c>
      <c r="G13" s="22" t="s">
        <v>15</v>
      </c>
      <c r="H13" s="11">
        <v>7.8E-2</v>
      </c>
      <c r="I13" s="11">
        <v>0.19400000000000001</v>
      </c>
      <c r="J13" s="11">
        <v>0</v>
      </c>
      <c r="K13" s="11">
        <v>0.6</v>
      </c>
      <c r="M13" s="22" t="s">
        <v>15</v>
      </c>
      <c r="N13" s="11">
        <v>9.1999999999999998E-2</v>
      </c>
      <c r="O13" s="11">
        <v>0.22600000000000001</v>
      </c>
      <c r="P13" s="11">
        <v>0</v>
      </c>
      <c r="Q13" s="11">
        <v>0.8</v>
      </c>
      <c r="S13" s="22" t="s">
        <v>15</v>
      </c>
      <c r="T13" s="11">
        <v>0.629</v>
      </c>
      <c r="U13" s="11">
        <v>1.103</v>
      </c>
      <c r="V13" s="11">
        <v>0</v>
      </c>
      <c r="W13" s="11">
        <v>3.9</v>
      </c>
      <c r="Y13" s="22" t="s">
        <v>15</v>
      </c>
      <c r="Z13" s="11">
        <v>1.577</v>
      </c>
      <c r="AA13" s="11">
        <v>2.1059999999999999</v>
      </c>
      <c r="AB13" s="11">
        <v>0</v>
      </c>
      <c r="AC13" s="11">
        <v>7.4</v>
      </c>
      <c r="AE13" s="22" t="s">
        <v>15</v>
      </c>
      <c r="AF13" s="11">
        <v>2.3580000000000001</v>
      </c>
      <c r="AG13" s="11">
        <v>3.1709999999999998</v>
      </c>
      <c r="AH13" s="11">
        <v>0</v>
      </c>
      <c r="AI13" s="11">
        <v>10.7</v>
      </c>
      <c r="AK13" s="22" t="s">
        <v>15</v>
      </c>
      <c r="AL13" s="11">
        <v>1.2090000000000001</v>
      </c>
      <c r="AM13" s="11">
        <v>1.93</v>
      </c>
      <c r="AN13" s="11">
        <v>0</v>
      </c>
      <c r="AO13" s="11">
        <v>6.6</v>
      </c>
      <c r="AQ13" s="22" t="s">
        <v>15</v>
      </c>
      <c r="AR13" s="8">
        <v>15.116</v>
      </c>
      <c r="AS13" s="8">
        <v>4.9649999999999999</v>
      </c>
      <c r="AT13" s="8">
        <v>6</v>
      </c>
      <c r="AU13" s="8">
        <v>25.4</v>
      </c>
    </row>
    <row r="14" spans="1:47" x14ac:dyDescent="0.25">
      <c r="A14" s="21" t="s">
        <v>105</v>
      </c>
      <c r="B14" s="8">
        <v>0.53155167315430962</v>
      </c>
      <c r="C14" s="8">
        <v>0.16880290262787823</v>
      </c>
      <c r="D14" s="8">
        <v>0.20069798400366828</v>
      </c>
      <c r="E14" s="8">
        <v>0.86240536230495102</v>
      </c>
      <c r="G14" s="21" t="s">
        <v>105</v>
      </c>
      <c r="H14" s="11">
        <v>6.3E-2</v>
      </c>
      <c r="I14" s="11">
        <v>0.17899999999999999</v>
      </c>
      <c r="J14" s="11">
        <v>0</v>
      </c>
      <c r="K14" s="11">
        <v>0.5</v>
      </c>
      <c r="M14" s="21" t="s">
        <v>105</v>
      </c>
      <c r="N14" s="11">
        <v>7.0000000000000007E-2</v>
      </c>
      <c r="O14" s="11">
        <v>0.18</v>
      </c>
      <c r="P14" s="11">
        <v>0</v>
      </c>
      <c r="Q14" s="11">
        <v>0.6</v>
      </c>
      <c r="S14" s="21" t="s">
        <v>105</v>
      </c>
      <c r="T14" s="11">
        <v>7.4999999999999997E-2</v>
      </c>
      <c r="U14" s="11">
        <v>0.21199999999999999</v>
      </c>
      <c r="V14" s="11">
        <v>0</v>
      </c>
      <c r="W14" s="11">
        <v>0.6</v>
      </c>
      <c r="Y14" s="21" t="s">
        <v>105</v>
      </c>
      <c r="Z14" s="11">
        <v>0.95799999999999996</v>
      </c>
      <c r="AA14" s="11">
        <v>0.75</v>
      </c>
      <c r="AB14" s="11">
        <v>0</v>
      </c>
      <c r="AC14" s="11">
        <v>2.8</v>
      </c>
      <c r="AE14" s="21" t="s">
        <v>105</v>
      </c>
      <c r="AF14" s="11">
        <v>3.7170000000000001</v>
      </c>
      <c r="AG14" s="11">
        <v>1.4970000000000001</v>
      </c>
      <c r="AH14" s="11">
        <v>1.3</v>
      </c>
      <c r="AI14" s="11">
        <v>7.1</v>
      </c>
      <c r="AK14" s="21" t="s">
        <v>105</v>
      </c>
      <c r="AL14" s="11">
        <v>2.5790000000000002</v>
      </c>
      <c r="AM14" s="11">
        <v>1.171</v>
      </c>
      <c r="AN14" s="11">
        <v>0.8</v>
      </c>
      <c r="AO14" s="11">
        <v>5.3</v>
      </c>
      <c r="AQ14" s="21" t="s">
        <v>105</v>
      </c>
      <c r="AR14" s="8">
        <v>0.38100000000000001</v>
      </c>
      <c r="AS14" s="8">
        <v>0.64800000000000002</v>
      </c>
      <c r="AT14" s="8">
        <v>0</v>
      </c>
      <c r="AU14" s="8">
        <v>2.2999999999999998</v>
      </c>
    </row>
    <row r="15" spans="1:47" x14ac:dyDescent="0.25">
      <c r="A15" s="22" t="s">
        <v>17</v>
      </c>
      <c r="B15" s="8">
        <v>0.45550640279046689</v>
      </c>
      <c r="C15" s="8">
        <v>0.13470526884325479</v>
      </c>
      <c r="D15" s="8">
        <v>0.19148407585768751</v>
      </c>
      <c r="E15" s="8">
        <v>0.71952872972324622</v>
      </c>
      <c r="G15" s="22" t="s">
        <v>17</v>
      </c>
      <c r="H15" s="11">
        <v>4.3999999999999997E-2</v>
      </c>
      <c r="I15" s="11">
        <v>0.14799999999999999</v>
      </c>
      <c r="J15" s="11">
        <v>0</v>
      </c>
      <c r="K15" s="11">
        <v>0.4</v>
      </c>
      <c r="M15" s="22" t="s">
        <v>17</v>
      </c>
      <c r="N15" s="11">
        <v>0.03</v>
      </c>
      <c r="O15" s="11">
        <v>8.5999999999999993E-2</v>
      </c>
      <c r="P15" s="11">
        <v>0</v>
      </c>
      <c r="Q15" s="11">
        <v>0.2</v>
      </c>
      <c r="S15" s="22" t="s">
        <v>17</v>
      </c>
      <c r="T15" s="11">
        <v>3.4000000000000002E-2</v>
      </c>
      <c r="U15" s="11">
        <v>9.9000000000000005E-2</v>
      </c>
      <c r="V15" s="11">
        <v>0</v>
      </c>
      <c r="W15" s="11">
        <v>0.3</v>
      </c>
      <c r="Y15" s="22" t="s">
        <v>17</v>
      </c>
      <c r="Z15" s="11">
        <v>0.878</v>
      </c>
      <c r="AA15" s="11">
        <v>0.67400000000000004</v>
      </c>
      <c r="AB15" s="11">
        <v>0</v>
      </c>
      <c r="AC15" s="11">
        <v>2.5</v>
      </c>
      <c r="AE15" s="22" t="s">
        <v>17</v>
      </c>
      <c r="AF15" s="11">
        <v>3.0950000000000002</v>
      </c>
      <c r="AG15" s="11">
        <v>1.339</v>
      </c>
      <c r="AH15" s="11">
        <v>1</v>
      </c>
      <c r="AI15" s="11">
        <v>6.2</v>
      </c>
      <c r="AK15" s="22" t="s">
        <v>17</v>
      </c>
      <c r="AL15" s="11">
        <v>2.5539999999999998</v>
      </c>
      <c r="AM15" s="11">
        <v>1.1659999999999999</v>
      </c>
      <c r="AN15" s="11">
        <v>0.7</v>
      </c>
      <c r="AO15" s="11">
        <v>5.2</v>
      </c>
      <c r="AQ15" s="22" t="s">
        <v>17</v>
      </c>
      <c r="AR15" s="8">
        <v>0.311</v>
      </c>
      <c r="AS15" s="8">
        <v>0.56599999999999995</v>
      </c>
      <c r="AT15" s="8">
        <v>0</v>
      </c>
      <c r="AU15" s="8">
        <v>2</v>
      </c>
    </row>
    <row r="16" spans="1:47" x14ac:dyDescent="0.25">
      <c r="A16" s="22" t="s">
        <v>18</v>
      </c>
      <c r="B16" s="8">
        <v>7.9118690489118793E-2</v>
      </c>
      <c r="C16" s="8">
        <v>0.10321785304820924</v>
      </c>
      <c r="D16" s="8">
        <v>0</v>
      </c>
      <c r="E16" s="8">
        <v>0.28142568246360888</v>
      </c>
      <c r="G16" s="22" t="s">
        <v>18</v>
      </c>
      <c r="H16" s="11">
        <v>2.3E-2</v>
      </c>
      <c r="I16" s="11">
        <v>0.106</v>
      </c>
      <c r="J16" s="11">
        <v>0</v>
      </c>
      <c r="K16" s="11">
        <v>0.2</v>
      </c>
      <c r="M16" s="22" t="s">
        <v>18</v>
      </c>
      <c r="N16" s="11">
        <v>4.2999999999999997E-2</v>
      </c>
      <c r="O16" s="11">
        <v>0.159</v>
      </c>
      <c r="P16" s="11">
        <v>0</v>
      </c>
      <c r="Q16" s="11">
        <v>0.5</v>
      </c>
      <c r="S16" s="22" t="s">
        <v>18</v>
      </c>
      <c r="T16" s="11">
        <v>4.4999999999999998E-2</v>
      </c>
      <c r="U16" s="11">
        <v>0.189</v>
      </c>
      <c r="V16" s="11">
        <v>0</v>
      </c>
      <c r="W16" s="11">
        <v>0.5</v>
      </c>
      <c r="Y16" s="22" t="s">
        <v>18</v>
      </c>
      <c r="Z16" s="11">
        <v>8.4000000000000005E-2</v>
      </c>
      <c r="AA16" s="11">
        <v>0.33600000000000002</v>
      </c>
      <c r="AB16" s="11">
        <v>0</v>
      </c>
      <c r="AC16" s="11">
        <v>1</v>
      </c>
      <c r="AE16" s="22" t="s">
        <v>18</v>
      </c>
      <c r="AF16" s="11">
        <v>0.61699999999999999</v>
      </c>
      <c r="AG16" s="11">
        <v>0.7</v>
      </c>
      <c r="AH16" s="11">
        <v>0</v>
      </c>
      <c r="AI16" s="11">
        <v>2.5</v>
      </c>
      <c r="AK16" s="22" t="s">
        <v>18</v>
      </c>
      <c r="AL16" s="11">
        <v>3.1E-2</v>
      </c>
      <c r="AM16" s="11">
        <v>0.13500000000000001</v>
      </c>
      <c r="AN16" s="11">
        <v>0</v>
      </c>
      <c r="AO16" s="11">
        <v>0.3</v>
      </c>
      <c r="AQ16" s="22" t="s">
        <v>18</v>
      </c>
      <c r="AR16" s="8">
        <v>7.3999999999999996E-2</v>
      </c>
      <c r="AS16" s="8">
        <v>0.311</v>
      </c>
      <c r="AT16" s="8">
        <v>0</v>
      </c>
      <c r="AU16" s="8">
        <v>0.9</v>
      </c>
    </row>
    <row r="17" spans="1:47" x14ac:dyDescent="0.25">
      <c r="A17" s="20" t="s">
        <v>41</v>
      </c>
      <c r="B17" s="8">
        <v>18.129516611985814</v>
      </c>
      <c r="C17" s="8">
        <v>0.81335113499648848</v>
      </c>
      <c r="D17" s="8">
        <v>16.535348387392695</v>
      </c>
      <c r="E17" s="8">
        <v>19.723684836578933</v>
      </c>
      <c r="G17" s="20" t="s">
        <v>41</v>
      </c>
      <c r="H17" s="11">
        <v>0.19800000000000001</v>
      </c>
      <c r="I17" s="11">
        <v>0.36799999999999999</v>
      </c>
      <c r="J17" s="11">
        <v>0</v>
      </c>
      <c r="K17" s="11">
        <v>1.202</v>
      </c>
      <c r="M17" s="20" t="s">
        <v>41</v>
      </c>
      <c r="N17" s="11">
        <v>0.42699999999999999</v>
      </c>
      <c r="O17" s="11">
        <v>0.75700000000000001</v>
      </c>
      <c r="P17" s="11">
        <v>0</v>
      </c>
      <c r="Q17" s="11">
        <v>2.7</v>
      </c>
      <c r="S17" s="20" t="s">
        <v>41</v>
      </c>
      <c r="T17" s="11">
        <v>3.2810000000000001</v>
      </c>
      <c r="U17" s="11">
        <v>2.0720000000000001</v>
      </c>
      <c r="V17" s="11">
        <v>0</v>
      </c>
      <c r="W17" s="11">
        <v>7.6</v>
      </c>
      <c r="Y17" s="20" t="s">
        <v>41</v>
      </c>
      <c r="Z17" s="11">
        <v>44.832000000000001</v>
      </c>
      <c r="AA17" s="11">
        <v>5.3840000000000003</v>
      </c>
      <c r="AB17" s="11">
        <v>34</v>
      </c>
      <c r="AC17" s="11">
        <v>55.1</v>
      </c>
      <c r="AE17" s="20" t="s">
        <v>41</v>
      </c>
      <c r="AF17" s="11">
        <v>88.314999999999998</v>
      </c>
      <c r="AG17" s="11">
        <v>5.0069999999999997</v>
      </c>
      <c r="AH17" s="11">
        <v>77.2</v>
      </c>
      <c r="AI17" s="11">
        <v>95.6</v>
      </c>
      <c r="AK17" s="20" t="s">
        <v>41</v>
      </c>
      <c r="AL17" s="11">
        <v>94.108999999999995</v>
      </c>
      <c r="AM17" s="11">
        <v>3.1949999999999998</v>
      </c>
      <c r="AN17" s="11">
        <v>86.4</v>
      </c>
      <c r="AO17" s="11">
        <v>98.4</v>
      </c>
      <c r="AQ17" s="20" t="s">
        <v>41</v>
      </c>
      <c r="AR17" s="8">
        <v>75.239999999999995</v>
      </c>
      <c r="AS17" s="8">
        <v>4.7370000000000001</v>
      </c>
      <c r="AT17" s="8">
        <v>65.900000000000006</v>
      </c>
      <c r="AU17" s="8">
        <v>84.7</v>
      </c>
    </row>
    <row r="18" spans="1:47" x14ac:dyDescent="0.25">
      <c r="A18" s="20" t="s">
        <v>106</v>
      </c>
      <c r="B18" s="8">
        <v>1.46227235148246</v>
      </c>
      <c r="C18" s="8">
        <v>0.41891677828894447</v>
      </c>
      <c r="D18" s="8">
        <v>0.64119546603612887</v>
      </c>
      <c r="E18" s="8">
        <v>2.2833492369287911</v>
      </c>
      <c r="G18" s="20" t="s">
        <v>106</v>
      </c>
      <c r="H18" s="11">
        <v>0.127</v>
      </c>
      <c r="I18" s="11">
        <v>0.26100000000000001</v>
      </c>
      <c r="J18" s="11">
        <v>0</v>
      </c>
      <c r="K18" s="11">
        <v>0.9</v>
      </c>
      <c r="M18" s="20" t="s">
        <v>106</v>
      </c>
      <c r="N18" s="11">
        <v>0.14799999999999999</v>
      </c>
      <c r="O18" s="11">
        <v>0.28299999999999997</v>
      </c>
      <c r="P18" s="11">
        <v>0</v>
      </c>
      <c r="Q18" s="11">
        <v>1</v>
      </c>
      <c r="S18" s="20" t="s">
        <v>106</v>
      </c>
      <c r="T18" s="11">
        <v>0.69099999999999995</v>
      </c>
      <c r="U18" s="11">
        <v>1.125</v>
      </c>
      <c r="V18" s="11">
        <v>0</v>
      </c>
      <c r="W18" s="11">
        <v>4</v>
      </c>
      <c r="Y18" s="20" t="s">
        <v>106</v>
      </c>
      <c r="Z18" s="11">
        <v>2.5339999999999998</v>
      </c>
      <c r="AA18" s="11">
        <v>2.2149999999999999</v>
      </c>
      <c r="AB18" s="11">
        <v>0.1</v>
      </c>
      <c r="AC18" s="11">
        <v>8.5</v>
      </c>
      <c r="AE18" s="20" t="s">
        <v>106</v>
      </c>
      <c r="AF18" s="11">
        <v>6.0720000000000001</v>
      </c>
      <c r="AG18" s="11">
        <v>3.484</v>
      </c>
      <c r="AH18" s="11">
        <v>1.6</v>
      </c>
      <c r="AI18" s="11">
        <v>14.8</v>
      </c>
      <c r="AK18" s="20" t="s">
        <v>106</v>
      </c>
      <c r="AL18" s="11">
        <v>3.7850000000000001</v>
      </c>
      <c r="AM18" s="11">
        <v>2.274</v>
      </c>
      <c r="AN18" s="11">
        <v>0.9</v>
      </c>
      <c r="AO18" s="11">
        <v>9.6</v>
      </c>
      <c r="AQ18" s="20" t="s">
        <v>106</v>
      </c>
      <c r="AR18" s="8">
        <v>15.497999999999999</v>
      </c>
      <c r="AS18" s="8">
        <v>4.9710000000000001</v>
      </c>
      <c r="AT18" s="8">
        <v>6.3</v>
      </c>
      <c r="AU18" s="8">
        <v>25.9</v>
      </c>
    </row>
    <row r="19" spans="1:47" x14ac:dyDescent="0.25">
      <c r="A19" s="20" t="s">
        <v>22</v>
      </c>
      <c r="B19" s="8">
        <v>10.596791813913079</v>
      </c>
      <c r="C19" s="8">
        <v>0.71087456543977823</v>
      </c>
      <c r="D19" s="8">
        <v>9.2034776656511141</v>
      </c>
      <c r="E19" s="8">
        <v>11.990105962175043</v>
      </c>
      <c r="G19" s="20" t="s">
        <v>22</v>
      </c>
      <c r="H19" s="11">
        <v>0.21199999999999999</v>
      </c>
      <c r="I19" s="11">
        <v>0.36699999999999999</v>
      </c>
      <c r="J19" s="11">
        <v>0</v>
      </c>
      <c r="K19" s="11">
        <v>1.3</v>
      </c>
      <c r="M19" s="20" t="s">
        <v>22</v>
      </c>
      <c r="N19" s="11">
        <v>0.46500000000000002</v>
      </c>
      <c r="O19" s="11">
        <v>0.77300000000000002</v>
      </c>
      <c r="P19" s="11">
        <v>0</v>
      </c>
      <c r="Q19" s="11">
        <v>2.7</v>
      </c>
      <c r="S19" s="20" t="s">
        <v>22</v>
      </c>
      <c r="T19" s="11">
        <v>3.8410000000000002</v>
      </c>
      <c r="U19" s="11">
        <v>1.7669999999999999</v>
      </c>
      <c r="V19" s="11">
        <v>0.9</v>
      </c>
      <c r="W19" s="11">
        <v>7.7</v>
      </c>
      <c r="Y19" s="20" t="s">
        <v>22</v>
      </c>
      <c r="Z19" s="11">
        <v>40.097000000000001</v>
      </c>
      <c r="AA19" s="11">
        <v>3.9129999999999998</v>
      </c>
      <c r="AB19" s="11">
        <v>32.4</v>
      </c>
      <c r="AC19" s="11">
        <v>48</v>
      </c>
      <c r="AE19" s="20" t="s">
        <v>22</v>
      </c>
      <c r="AF19" s="11">
        <v>50.372999999999998</v>
      </c>
      <c r="AG19" s="11">
        <v>4.1589999999999998</v>
      </c>
      <c r="AH19" s="11">
        <v>42.2</v>
      </c>
      <c r="AI19" s="11">
        <v>58.3</v>
      </c>
      <c r="AK19" s="20" t="s">
        <v>22</v>
      </c>
      <c r="AL19" s="11">
        <v>36.734000000000002</v>
      </c>
      <c r="AM19" s="11">
        <v>3.903</v>
      </c>
      <c r="AN19" s="11">
        <v>29.2</v>
      </c>
      <c r="AO19" s="11">
        <v>44.5</v>
      </c>
      <c r="AQ19" s="20" t="s">
        <v>22</v>
      </c>
      <c r="AR19" s="8">
        <v>24.681000000000001</v>
      </c>
      <c r="AS19" s="8">
        <v>4.3780000000000001</v>
      </c>
      <c r="AT19" s="8">
        <v>16.3</v>
      </c>
      <c r="AU19" s="8">
        <v>33.5</v>
      </c>
    </row>
    <row r="20" spans="1:47" x14ac:dyDescent="0.25">
      <c r="A20" s="20" t="s">
        <v>42</v>
      </c>
      <c r="B20" s="8">
        <v>97.169050184168043</v>
      </c>
      <c r="C20" s="8">
        <v>0.55580325307588319</v>
      </c>
      <c r="D20" s="8">
        <v>96.079675808139314</v>
      </c>
      <c r="E20" s="8">
        <v>98.258424560196772</v>
      </c>
      <c r="G20" s="20" t="s">
        <v>42</v>
      </c>
      <c r="H20" s="11">
        <v>99.858000000000004</v>
      </c>
      <c r="I20" s="11">
        <v>0.27600000000000002</v>
      </c>
      <c r="J20" s="11">
        <v>99</v>
      </c>
      <c r="K20" s="11">
        <v>100</v>
      </c>
      <c r="M20" s="20" t="s">
        <v>42</v>
      </c>
      <c r="N20" s="11">
        <v>99.843000000000004</v>
      </c>
      <c r="O20" s="11">
        <v>0.28599999999999998</v>
      </c>
      <c r="P20" s="11">
        <v>99</v>
      </c>
      <c r="Q20" s="11">
        <v>100</v>
      </c>
      <c r="S20" s="20" t="s">
        <v>42</v>
      </c>
      <c r="T20" s="11">
        <v>99.150999999999996</v>
      </c>
      <c r="U20" s="11">
        <v>1.2130000000000001</v>
      </c>
      <c r="V20" s="11">
        <v>95.8</v>
      </c>
      <c r="W20" s="11">
        <v>100</v>
      </c>
      <c r="Y20" s="20" t="s">
        <v>42</v>
      </c>
      <c r="Z20" s="11">
        <v>87.947999999999993</v>
      </c>
      <c r="AA20" s="11">
        <v>3.786</v>
      </c>
      <c r="AB20" s="11">
        <v>80.097999999999999</v>
      </c>
      <c r="AC20" s="11">
        <v>94.7</v>
      </c>
      <c r="AE20" s="20" t="s">
        <v>42</v>
      </c>
      <c r="AF20" s="11">
        <v>92.123999999999995</v>
      </c>
      <c r="AG20" s="11">
        <v>4.46</v>
      </c>
      <c r="AH20" s="11">
        <v>81.8</v>
      </c>
      <c r="AI20" s="11">
        <v>98.1</v>
      </c>
      <c r="AK20" s="20" t="s">
        <v>42</v>
      </c>
      <c r="AL20" s="11">
        <v>95.037999999999997</v>
      </c>
      <c r="AM20" s="11">
        <v>3.056</v>
      </c>
      <c r="AN20" s="11">
        <v>87.798000000000002</v>
      </c>
      <c r="AO20" s="11">
        <v>98.9</v>
      </c>
      <c r="AQ20" s="20" t="s">
        <v>42</v>
      </c>
      <c r="AR20" s="8">
        <v>76.144999999999996</v>
      </c>
      <c r="AS20" s="8">
        <v>4.7</v>
      </c>
      <c r="AT20" s="8">
        <v>67.097999999999999</v>
      </c>
      <c r="AU20" s="8">
        <v>85.6</v>
      </c>
    </row>
    <row r="21" spans="1:47" x14ac:dyDescent="0.25">
      <c r="A21" s="20" t="s">
        <v>21</v>
      </c>
      <c r="B21" s="8">
        <v>2.8309498158319744</v>
      </c>
      <c r="C21" s="8">
        <v>0.55615815748566655</v>
      </c>
      <c r="D21" s="8">
        <v>1.7408798271600678</v>
      </c>
      <c r="E21" s="8">
        <v>3.9210198045038807</v>
      </c>
      <c r="G21" s="20" t="s">
        <v>21</v>
      </c>
      <c r="H21" s="11">
        <v>0.14199999999999999</v>
      </c>
      <c r="I21" s="11">
        <v>0.27900000000000003</v>
      </c>
      <c r="J21" s="11">
        <v>0</v>
      </c>
      <c r="K21" s="11">
        <v>1</v>
      </c>
      <c r="M21" s="20" t="s">
        <v>21</v>
      </c>
      <c r="N21" s="11">
        <v>0.157</v>
      </c>
      <c r="O21" s="11">
        <v>0.28799999999999998</v>
      </c>
      <c r="P21" s="11">
        <v>0</v>
      </c>
      <c r="Q21" s="11">
        <v>1</v>
      </c>
      <c r="S21" s="20" t="s">
        <v>21</v>
      </c>
      <c r="T21" s="11">
        <v>0.84899999999999998</v>
      </c>
      <c r="U21" s="11">
        <v>1.2150000000000001</v>
      </c>
      <c r="V21" s="11">
        <v>0</v>
      </c>
      <c r="W21" s="11">
        <v>4.2</v>
      </c>
      <c r="Y21" s="20" t="s">
        <v>21</v>
      </c>
      <c r="Z21" s="11">
        <v>12.052</v>
      </c>
      <c r="AA21" s="11">
        <v>3.7850000000000001</v>
      </c>
      <c r="AB21" s="11">
        <v>5.3</v>
      </c>
      <c r="AC21" s="11">
        <v>19.899999999999999</v>
      </c>
      <c r="AE21" s="20" t="s">
        <v>21</v>
      </c>
      <c r="AF21" s="11">
        <v>7.8760000000000003</v>
      </c>
      <c r="AG21" s="11">
        <v>4.4610000000000003</v>
      </c>
      <c r="AH21" s="11">
        <v>1.9</v>
      </c>
      <c r="AI21" s="11">
        <v>18.2</v>
      </c>
      <c r="AK21" s="20" t="s">
        <v>21</v>
      </c>
      <c r="AL21" s="11">
        <v>4.9619999999999997</v>
      </c>
      <c r="AM21" s="11">
        <v>3.056</v>
      </c>
      <c r="AN21" s="11">
        <v>1.1000000000000001</v>
      </c>
      <c r="AO21" s="11">
        <v>12.2</v>
      </c>
      <c r="AQ21" s="20" t="s">
        <v>21</v>
      </c>
      <c r="AR21" s="8">
        <v>23.855</v>
      </c>
      <c r="AS21" s="8">
        <v>4.7009999999999996</v>
      </c>
      <c r="AT21" s="8">
        <v>14.4</v>
      </c>
      <c r="AU21" s="8">
        <v>32.9</v>
      </c>
    </row>
    <row r="25" spans="1:47" x14ac:dyDescent="0.25">
      <c r="A25" s="5" t="s">
        <v>300</v>
      </c>
      <c r="G25" s="16" t="s">
        <v>303</v>
      </c>
    </row>
    <row r="26" spans="1:47" x14ac:dyDescent="0.25">
      <c r="A26" t="s">
        <v>64</v>
      </c>
      <c r="B26" s="7" t="s">
        <v>65</v>
      </c>
      <c r="C26" s="7" t="s">
        <v>34</v>
      </c>
      <c r="D26" s="14" t="s">
        <v>111</v>
      </c>
      <c r="E26" s="14"/>
      <c r="G26" s="16" t="s">
        <v>304</v>
      </c>
    </row>
    <row r="27" spans="1:47" x14ac:dyDescent="0.25">
      <c r="A27" s="20" t="s">
        <v>9</v>
      </c>
      <c r="B27" s="8">
        <v>98.788839720362063</v>
      </c>
      <c r="C27" s="8">
        <v>0.65986144370266697</v>
      </c>
      <c r="D27" s="8">
        <v>97.49551129070484</v>
      </c>
      <c r="E27" s="8">
        <v>100</v>
      </c>
      <c r="G27" s="16" t="s">
        <v>196</v>
      </c>
    </row>
    <row r="28" spans="1:47" x14ac:dyDescent="0.25">
      <c r="A28" s="21" t="s">
        <v>10</v>
      </c>
      <c r="B28" s="8">
        <v>87.794267485621447</v>
      </c>
      <c r="C28" s="8">
        <v>4.5302630106376718</v>
      </c>
      <c r="D28" s="8">
        <v>78.914951984771605</v>
      </c>
      <c r="E28" s="8">
        <v>96.673582986471288</v>
      </c>
      <c r="G28" s="24" t="s">
        <v>197</v>
      </c>
    </row>
    <row r="29" spans="1:47" x14ac:dyDescent="0.25">
      <c r="A29" s="21" t="s">
        <v>101</v>
      </c>
      <c r="B29" s="8">
        <v>10.938972141809595</v>
      </c>
      <c r="C29" s="8">
        <v>4.5590737882798749</v>
      </c>
      <c r="D29" s="8">
        <v>2.0031875167810398</v>
      </c>
      <c r="E29" s="8">
        <v>19.87475676683815</v>
      </c>
      <c r="G29" s="25" t="s">
        <v>198</v>
      </c>
    </row>
    <row r="30" spans="1:47" x14ac:dyDescent="0.25">
      <c r="A30" s="22" t="s">
        <v>126</v>
      </c>
      <c r="B30" s="8">
        <v>8.0657370922881757</v>
      </c>
      <c r="C30" s="8">
        <v>4.6136441406705204</v>
      </c>
      <c r="D30" s="8">
        <v>0</v>
      </c>
      <c r="E30" s="8">
        <v>17.108479608002398</v>
      </c>
      <c r="G30" s="25" t="s">
        <v>199</v>
      </c>
    </row>
    <row r="31" spans="1:47" x14ac:dyDescent="0.25">
      <c r="A31" s="22" t="s">
        <v>103</v>
      </c>
      <c r="B31" s="8">
        <v>2.8734774728038115</v>
      </c>
      <c r="C31" s="8">
        <v>0.94047184323430877</v>
      </c>
      <c r="D31" s="8">
        <v>1.0301526600645663</v>
      </c>
      <c r="E31" s="8">
        <v>4.7168022855430571</v>
      </c>
      <c r="G31" s="25" t="s">
        <v>214</v>
      </c>
    </row>
    <row r="32" spans="1:47" x14ac:dyDescent="0.25">
      <c r="A32" s="20" t="s">
        <v>11</v>
      </c>
      <c r="B32" s="8">
        <v>1.2111602796379386</v>
      </c>
      <c r="C32" s="8">
        <v>0.66046093889314661</v>
      </c>
      <c r="D32" s="8">
        <v>0</v>
      </c>
      <c r="E32" s="8">
        <v>2.5056637198685059</v>
      </c>
      <c r="G32" s="16" t="s">
        <v>201</v>
      </c>
    </row>
    <row r="33" spans="1:7" x14ac:dyDescent="0.25">
      <c r="A33" s="21" t="s">
        <v>103</v>
      </c>
      <c r="B33" s="8">
        <v>0.15274965513872993</v>
      </c>
      <c r="C33" s="8">
        <v>0.21856802960320129</v>
      </c>
      <c r="D33" s="8">
        <v>0</v>
      </c>
      <c r="E33" s="8">
        <v>0.58114299316100448</v>
      </c>
      <c r="G33" s="16" t="s">
        <v>202</v>
      </c>
    </row>
    <row r="34" spans="1:7" x14ac:dyDescent="0.25">
      <c r="A34" s="21" t="s">
        <v>38</v>
      </c>
      <c r="B34" s="8">
        <v>0.80398867534991036</v>
      </c>
      <c r="C34" s="8">
        <v>0.63275260795049881</v>
      </c>
      <c r="D34" s="8">
        <v>0</v>
      </c>
      <c r="E34" s="8">
        <v>2.044183786932888</v>
      </c>
      <c r="G34" s="16" t="s">
        <v>203</v>
      </c>
    </row>
    <row r="35" spans="1:7" x14ac:dyDescent="0.25">
      <c r="A35" s="21" t="s">
        <v>104</v>
      </c>
      <c r="B35" s="8">
        <v>0.23095647949774997</v>
      </c>
      <c r="C35" s="8">
        <v>0.27914669367093797</v>
      </c>
      <c r="D35" s="8">
        <v>0</v>
      </c>
      <c r="E35" s="8">
        <v>0.77808399909278847</v>
      </c>
      <c r="G35" s="16" t="s">
        <v>204</v>
      </c>
    </row>
    <row r="36" spans="1:7" x14ac:dyDescent="0.25">
      <c r="A36" s="22" t="s">
        <v>14</v>
      </c>
      <c r="B36" s="8">
        <v>4.4785982725915482E-2</v>
      </c>
      <c r="C36" s="8">
        <v>0.11651412938619435</v>
      </c>
      <c r="D36" s="8">
        <v>0</v>
      </c>
      <c r="E36" s="8">
        <v>0.27315367632285642</v>
      </c>
      <c r="G36" s="16" t="s">
        <v>205</v>
      </c>
    </row>
    <row r="37" spans="1:7" x14ac:dyDescent="0.25">
      <c r="A37" s="22" t="s">
        <v>15</v>
      </c>
      <c r="B37" s="8">
        <v>0.19205525040558324</v>
      </c>
      <c r="C37" s="8">
        <v>0.26231703648195481</v>
      </c>
      <c r="D37" s="8">
        <v>0</v>
      </c>
      <c r="E37" s="8">
        <v>0.7061966419102147</v>
      </c>
      <c r="G37" s="16" t="s">
        <v>206</v>
      </c>
    </row>
    <row r="38" spans="1:7" x14ac:dyDescent="0.25">
      <c r="A38" s="21" t="s">
        <v>105</v>
      </c>
      <c r="B38" s="8">
        <v>7.0139911372303659E-2</v>
      </c>
      <c r="C38" s="8">
        <v>0.13306310176335034</v>
      </c>
      <c r="D38" s="8">
        <v>0</v>
      </c>
      <c r="E38" s="8">
        <v>0.33094359082847036</v>
      </c>
      <c r="G38" s="16" t="s">
        <v>207</v>
      </c>
    </row>
    <row r="39" spans="1:7" x14ac:dyDescent="0.25">
      <c r="A39" s="22" t="s">
        <v>17</v>
      </c>
      <c r="B39" s="8">
        <v>3.2370757876367395E-2</v>
      </c>
      <c r="C39" s="8">
        <v>6.4954414262590174E-2</v>
      </c>
      <c r="D39" s="8">
        <v>0</v>
      </c>
      <c r="E39" s="8">
        <v>0.15968140983104415</v>
      </c>
      <c r="G39" s="16" t="s">
        <v>208</v>
      </c>
    </row>
    <row r="40" spans="1:7" x14ac:dyDescent="0.25">
      <c r="A40" s="22" t="s">
        <v>18</v>
      </c>
      <c r="B40" s="8">
        <v>4.1073727049399975E-2</v>
      </c>
      <c r="C40" s="8">
        <v>0.1168588472881749</v>
      </c>
      <c r="D40" s="8">
        <v>0</v>
      </c>
      <c r="E40" s="8">
        <v>0.27011706773422278</v>
      </c>
      <c r="G40" s="16" t="s">
        <v>209</v>
      </c>
    </row>
    <row r="41" spans="1:7" x14ac:dyDescent="0.25">
      <c r="A41" s="20" t="s">
        <v>41</v>
      </c>
      <c r="B41" s="8">
        <v>0.94094837443287649</v>
      </c>
      <c r="C41" s="8">
        <v>0.65789337665252168</v>
      </c>
      <c r="D41" s="8">
        <v>0</v>
      </c>
      <c r="E41" s="8">
        <v>2.230419392671819</v>
      </c>
      <c r="G41" s="16" t="s">
        <v>210</v>
      </c>
    </row>
    <row r="42" spans="1:7" x14ac:dyDescent="0.25">
      <c r="A42" s="20" t="s">
        <v>106</v>
      </c>
      <c r="B42" s="8">
        <v>0.24838448896509938</v>
      </c>
      <c r="C42" s="8">
        <v>0.29155324780197095</v>
      </c>
      <c r="D42" s="8">
        <v>0</v>
      </c>
      <c r="E42" s="8">
        <v>0.81982885465696242</v>
      </c>
      <c r="G42" s="16" t="s">
        <v>211</v>
      </c>
    </row>
    <row r="43" spans="1:7" x14ac:dyDescent="0.25">
      <c r="A43" s="20" t="s">
        <v>22</v>
      </c>
      <c r="B43" s="8">
        <v>1.07501125336776</v>
      </c>
      <c r="C43" s="8">
        <v>0.63457262946059234</v>
      </c>
      <c r="D43" s="8">
        <v>0</v>
      </c>
      <c r="E43" s="8">
        <v>2.3187736071105212</v>
      </c>
      <c r="G43" s="16" t="s">
        <v>212</v>
      </c>
    </row>
    <row r="44" spans="1:7" x14ac:dyDescent="0.25">
      <c r="A44" s="20" t="s">
        <v>42</v>
      </c>
      <c r="B44" s="8">
        <v>99.713714281942742</v>
      </c>
      <c r="C44" s="8">
        <v>0.30546794533624677</v>
      </c>
      <c r="D44" s="8">
        <v>99.114997109083703</v>
      </c>
      <c r="E44" s="8">
        <v>100</v>
      </c>
      <c r="G44" s="19" t="s">
        <v>213</v>
      </c>
    </row>
    <row r="45" spans="1:7" x14ac:dyDescent="0.25">
      <c r="A45" s="20" t="s">
        <v>21</v>
      </c>
      <c r="B45" s="8">
        <v>0.2862857180572661</v>
      </c>
      <c r="C45" s="8">
        <v>0.30669534617959404</v>
      </c>
      <c r="D45" s="8">
        <v>0</v>
      </c>
      <c r="E45" s="8">
        <v>0.8874085965692704</v>
      </c>
    </row>
    <row r="49" spans="1:5" x14ac:dyDescent="0.25">
      <c r="A49" s="5" t="s">
        <v>276</v>
      </c>
    </row>
    <row r="50" spans="1:5" x14ac:dyDescent="0.25">
      <c r="A50" t="s">
        <v>64</v>
      </c>
      <c r="B50" s="7" t="s">
        <v>65</v>
      </c>
      <c r="C50" s="7" t="s">
        <v>34</v>
      </c>
      <c r="D50" s="14" t="s">
        <v>111</v>
      </c>
      <c r="E50" s="14"/>
    </row>
    <row r="51" spans="1:5" x14ac:dyDescent="0.25">
      <c r="A51" s="20" t="s">
        <v>9</v>
      </c>
      <c r="B51" s="8">
        <v>18.298812221716663</v>
      </c>
      <c r="C51" s="8">
        <v>1.80333114327043</v>
      </c>
      <c r="D51" s="8">
        <v>14.76428318090662</v>
      </c>
      <c r="E51" s="8">
        <v>21.833341262526705</v>
      </c>
    </row>
    <row r="52" spans="1:5" x14ac:dyDescent="0.25">
      <c r="A52" s="21" t="s">
        <v>10</v>
      </c>
      <c r="B52" s="8">
        <v>9.1614710910331816</v>
      </c>
      <c r="C52" s="8">
        <v>1.619089656684902</v>
      </c>
      <c r="D52" s="8">
        <v>5.9880553639307736</v>
      </c>
      <c r="E52" s="8">
        <v>12.33488681813559</v>
      </c>
    </row>
    <row r="53" spans="1:5" x14ac:dyDescent="0.25">
      <c r="A53" s="21" t="s">
        <v>101</v>
      </c>
      <c r="B53" s="8">
        <v>9.1410900134876005</v>
      </c>
      <c r="C53" s="8">
        <v>2.1176712729307394</v>
      </c>
      <c r="D53" s="8">
        <v>4.9904543185433514</v>
      </c>
      <c r="E53" s="8">
        <v>13.29172570843185</v>
      </c>
    </row>
    <row r="54" spans="1:5" x14ac:dyDescent="0.25">
      <c r="A54" s="22" t="s">
        <v>126</v>
      </c>
      <c r="B54" s="8">
        <v>3.217908333062498</v>
      </c>
      <c r="C54" s="8">
        <v>2.2884731353029006</v>
      </c>
      <c r="D54" s="8">
        <v>0</v>
      </c>
      <c r="E54" s="8">
        <v>7.7033156782561836</v>
      </c>
    </row>
    <row r="55" spans="1:5" x14ac:dyDescent="0.25">
      <c r="A55" s="22" t="s">
        <v>103</v>
      </c>
      <c r="B55" s="8">
        <v>5.9302856649549867</v>
      </c>
      <c r="C55" s="8">
        <v>1.6953122099918803</v>
      </c>
      <c r="D55" s="8">
        <v>2.6074737333709015</v>
      </c>
      <c r="E55" s="8">
        <v>9.2530975965390709</v>
      </c>
    </row>
    <row r="56" spans="1:5" x14ac:dyDescent="0.25">
      <c r="A56" s="20" t="s">
        <v>11</v>
      </c>
      <c r="B56" s="8">
        <v>81.701187778283341</v>
      </c>
      <c r="C56" s="8">
        <v>1.80333114327043</v>
      </c>
      <c r="D56" s="8">
        <v>78.166658737473298</v>
      </c>
      <c r="E56" s="8">
        <v>85.235716819093383</v>
      </c>
    </row>
    <row r="57" spans="1:5" x14ac:dyDescent="0.25">
      <c r="A57" s="21" t="s">
        <v>103</v>
      </c>
      <c r="B57" s="8">
        <v>41.79081736488024</v>
      </c>
      <c r="C57" s="8">
        <v>1.9769719506515637</v>
      </c>
      <c r="D57" s="8">
        <v>37.915952341603173</v>
      </c>
      <c r="E57" s="8">
        <v>45.665682388157308</v>
      </c>
    </row>
    <row r="58" spans="1:5" x14ac:dyDescent="0.25">
      <c r="A58" s="21" t="s">
        <v>38</v>
      </c>
      <c r="B58" s="8">
        <v>29.234932037927784</v>
      </c>
      <c r="C58" s="8">
        <v>2.637748417609437</v>
      </c>
      <c r="D58" s="8">
        <v>24.06494513941329</v>
      </c>
      <c r="E58" s="8">
        <v>34.404918936442279</v>
      </c>
    </row>
    <row r="59" spans="1:5" x14ac:dyDescent="0.25">
      <c r="A59" s="21" t="s">
        <v>104</v>
      </c>
      <c r="B59" s="8">
        <v>8.7076195277714579</v>
      </c>
      <c r="C59" s="8">
        <v>2.0170808869791279</v>
      </c>
      <c r="D59" s="8">
        <v>4.7541409892923667</v>
      </c>
      <c r="E59" s="8">
        <v>12.661098066250549</v>
      </c>
    </row>
    <row r="60" spans="1:5" x14ac:dyDescent="0.25">
      <c r="A60" s="22" t="s">
        <v>14</v>
      </c>
      <c r="B60" s="8">
        <v>5.4615127035327768</v>
      </c>
      <c r="C60" s="8">
        <v>1.7685286328648893</v>
      </c>
      <c r="D60" s="8">
        <v>1.9951965831175942</v>
      </c>
      <c r="E60" s="8">
        <v>8.9278288239479586</v>
      </c>
    </row>
    <row r="61" spans="1:5" x14ac:dyDescent="0.25">
      <c r="A61" s="22" t="s">
        <v>15</v>
      </c>
      <c r="B61" s="8">
        <v>3.2482637922909419</v>
      </c>
      <c r="C61" s="8">
        <v>1.3528173218327024</v>
      </c>
      <c r="D61" s="8">
        <v>0.59674184149884502</v>
      </c>
      <c r="E61" s="8">
        <v>5.8997857430830383</v>
      </c>
    </row>
    <row r="62" spans="1:5" x14ac:dyDescent="0.25">
      <c r="A62" s="21" t="s">
        <v>105</v>
      </c>
      <c r="B62" s="8">
        <v>1.9515805234164256</v>
      </c>
      <c r="C62" s="8">
        <v>0.55323222853548937</v>
      </c>
      <c r="D62" s="8">
        <v>0.86724535548686643</v>
      </c>
      <c r="E62" s="8">
        <v>3.035915691345985</v>
      </c>
    </row>
    <row r="63" spans="1:5" x14ac:dyDescent="0.25">
      <c r="A63" s="22" t="s">
        <v>17</v>
      </c>
      <c r="B63" s="8">
        <v>1.7577376702200267</v>
      </c>
      <c r="C63" s="8">
        <v>0.51160286366533037</v>
      </c>
      <c r="D63" s="8">
        <v>0.75499605743597931</v>
      </c>
      <c r="E63" s="8">
        <v>2.7604792830040741</v>
      </c>
    </row>
    <row r="64" spans="1:5" x14ac:dyDescent="0.25">
      <c r="A64" s="22" t="s">
        <v>18</v>
      </c>
      <c r="B64" s="8">
        <v>0.19620488153661156</v>
      </c>
      <c r="C64" s="8">
        <v>0.21862403297540703</v>
      </c>
      <c r="D64" s="8">
        <v>0</v>
      </c>
      <c r="E64" s="8">
        <v>0.62470798616840928</v>
      </c>
    </row>
    <row r="65" spans="1:5" x14ac:dyDescent="0.25">
      <c r="A65" s="20" t="s">
        <v>41</v>
      </c>
      <c r="B65" s="8">
        <v>71.028607648932365</v>
      </c>
      <c r="C65" s="8">
        <v>2.6267271523593418</v>
      </c>
      <c r="D65" s="8">
        <v>65.880222430308052</v>
      </c>
      <c r="E65" s="8">
        <v>76.176992867556677</v>
      </c>
    </row>
    <row r="66" spans="1:5" x14ac:dyDescent="0.25">
      <c r="A66" s="20" t="s">
        <v>106</v>
      </c>
      <c r="B66" s="8">
        <v>5.1981020995157454</v>
      </c>
      <c r="C66" s="8">
        <v>1.4535196451646097</v>
      </c>
      <c r="D66" s="8">
        <v>2.3492035949931105</v>
      </c>
      <c r="E66" s="8">
        <v>8.0470006040383808</v>
      </c>
    </row>
    <row r="67" spans="1:5" x14ac:dyDescent="0.25">
      <c r="A67" s="20" t="s">
        <v>22</v>
      </c>
      <c r="B67" s="8">
        <v>39.900776284572132</v>
      </c>
      <c r="C67" s="8">
        <v>2.1419953001982628</v>
      </c>
      <c r="D67" s="8">
        <v>35.702465496183535</v>
      </c>
      <c r="E67" s="8">
        <v>44.099087072960728</v>
      </c>
    </row>
    <row r="68" spans="1:5" x14ac:dyDescent="0.25">
      <c r="A68" s="20" t="s">
        <v>42</v>
      </c>
      <c r="B68" s="8">
        <v>89.33765806899801</v>
      </c>
      <c r="C68" s="8">
        <v>2.0621489506355397</v>
      </c>
      <c r="D68" s="8">
        <v>85.295846125752348</v>
      </c>
      <c r="E68" s="8">
        <v>93.379470012243672</v>
      </c>
    </row>
    <row r="69" spans="1:5" x14ac:dyDescent="0.25">
      <c r="A69" s="20" t="s">
        <v>21</v>
      </c>
      <c r="B69" s="8">
        <v>10.662341931001983</v>
      </c>
      <c r="C69" s="8">
        <v>2.0620143671275555</v>
      </c>
      <c r="D69" s="8">
        <v>6.6207937714319742</v>
      </c>
      <c r="E69" s="8">
        <v>14.703890090571992</v>
      </c>
    </row>
  </sheetData>
  <mergeCells count="10">
    <mergeCell ref="AB2:AC2"/>
    <mergeCell ref="AH2:AI2"/>
    <mergeCell ref="AN2:AO2"/>
    <mergeCell ref="AT2:AU2"/>
    <mergeCell ref="D2:E2"/>
    <mergeCell ref="D26:E26"/>
    <mergeCell ref="D50:E50"/>
    <mergeCell ref="J2:K2"/>
    <mergeCell ref="P2:Q2"/>
    <mergeCell ref="V2: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Flannery, Blair BGF</dc:creator>
  <cp:lastModifiedBy>Ransbury, Shane R</cp:lastModifiedBy>
  <dcterms:created xsi:type="dcterms:W3CDTF">2024-03-21T20:56:29Z</dcterms:created>
  <dcterms:modified xsi:type="dcterms:W3CDTF">2026-03-13T20:51:21Z</dcterms:modified>
</cp:coreProperties>
</file>