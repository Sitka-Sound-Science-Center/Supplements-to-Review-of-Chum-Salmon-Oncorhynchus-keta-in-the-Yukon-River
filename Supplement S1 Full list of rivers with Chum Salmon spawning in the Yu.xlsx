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ransbury\OneDrive - DOI\Desktop\Admin\Shane\Ransbury\Authored documents\Chum spawning grounds\_JournalSubmission\_Response from Journal\Final submission July 2026\"/>
    </mc:Choice>
  </mc:AlternateContent>
  <xr:revisionPtr revIDLastSave="0" documentId="13_ncr:1_{584A8448-E0C7-4F54-B74A-B5A81ACE92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lement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3" i="1" l="1"/>
  <c r="M192" i="1"/>
  <c r="J192" i="1"/>
  <c r="M191" i="1"/>
  <c r="M189" i="1"/>
  <c r="M188" i="1"/>
  <c r="J188" i="1"/>
  <c r="M187" i="1"/>
  <c r="J187" i="1"/>
  <c r="M186" i="1"/>
  <c r="J186" i="1"/>
  <c r="M181" i="1"/>
  <c r="J181" i="1"/>
  <c r="N180" i="1"/>
  <c r="M180" i="1"/>
  <c r="J180" i="1"/>
  <c r="M179" i="1"/>
  <c r="J179" i="1"/>
  <c r="N178" i="1"/>
  <c r="M178" i="1"/>
  <c r="M177" i="1"/>
  <c r="M176" i="1"/>
  <c r="J176" i="1"/>
  <c r="M174" i="1"/>
  <c r="M173" i="1"/>
  <c r="J173" i="1"/>
  <c r="M171" i="1"/>
  <c r="N170" i="1"/>
  <c r="M170" i="1"/>
  <c r="J170" i="1"/>
  <c r="M169" i="1"/>
  <c r="M167" i="1"/>
  <c r="M165" i="1"/>
  <c r="J165" i="1"/>
  <c r="M164" i="1"/>
  <c r="M163" i="1"/>
  <c r="J163" i="1"/>
  <c r="M162" i="1"/>
  <c r="M161" i="1"/>
  <c r="J161" i="1"/>
  <c r="M158" i="1"/>
  <c r="M157" i="1"/>
  <c r="J157" i="1"/>
  <c r="M155" i="1"/>
  <c r="N154" i="1"/>
  <c r="M154" i="1"/>
  <c r="J154" i="1"/>
  <c r="M153" i="1"/>
  <c r="N152" i="1"/>
  <c r="M152" i="1"/>
  <c r="M151" i="1"/>
  <c r="M150" i="1"/>
  <c r="M149" i="1"/>
  <c r="M148" i="1"/>
  <c r="J148" i="1"/>
  <c r="M146" i="1"/>
  <c r="M144" i="1"/>
  <c r="M139" i="1"/>
  <c r="M136" i="1"/>
  <c r="M135" i="1"/>
  <c r="M134" i="1"/>
  <c r="J134" i="1"/>
  <c r="M133" i="1"/>
  <c r="J133" i="1"/>
  <c r="M132" i="1"/>
  <c r="M131" i="1"/>
  <c r="M130" i="1"/>
  <c r="J130" i="1"/>
  <c r="M129" i="1"/>
  <c r="J129" i="1"/>
  <c r="M127" i="1"/>
  <c r="M125" i="1"/>
  <c r="M123" i="1"/>
  <c r="M122" i="1"/>
  <c r="J122" i="1"/>
  <c r="M119" i="1"/>
  <c r="J119" i="1"/>
  <c r="M116" i="1"/>
  <c r="J116" i="1"/>
  <c r="M115" i="1"/>
  <c r="M114" i="1"/>
  <c r="M111" i="1"/>
  <c r="J111" i="1"/>
  <c r="M109" i="1"/>
  <c r="M108" i="1"/>
  <c r="M107" i="1"/>
  <c r="J107" i="1"/>
  <c r="M106" i="1"/>
  <c r="J106" i="1"/>
  <c r="M105" i="1"/>
  <c r="M104" i="1"/>
  <c r="J104" i="1"/>
  <c r="M103" i="1"/>
  <c r="M102" i="1"/>
  <c r="M101" i="1"/>
  <c r="M100" i="1"/>
  <c r="J100" i="1"/>
  <c r="M99" i="1"/>
  <c r="J99" i="1"/>
  <c r="M98" i="1"/>
  <c r="J98" i="1"/>
  <c r="M97" i="1"/>
  <c r="M96" i="1"/>
  <c r="J96" i="1"/>
  <c r="M95" i="1"/>
  <c r="M94" i="1"/>
  <c r="M92" i="1"/>
  <c r="M91" i="1"/>
  <c r="J91" i="1"/>
  <c r="M89" i="1"/>
  <c r="J89" i="1"/>
  <c r="M88" i="1"/>
  <c r="J88" i="1"/>
  <c r="M86" i="1"/>
  <c r="M84" i="1"/>
  <c r="M81" i="1"/>
  <c r="J81" i="1"/>
  <c r="M80" i="1"/>
  <c r="J80" i="1"/>
  <c r="N79" i="1"/>
  <c r="M79" i="1"/>
  <c r="J79" i="1"/>
  <c r="M78" i="1"/>
  <c r="J78" i="1"/>
  <c r="M77" i="1"/>
  <c r="J77" i="1"/>
  <c r="M76" i="1"/>
  <c r="J76" i="1"/>
  <c r="M75" i="1"/>
  <c r="M74" i="1"/>
  <c r="N73" i="1"/>
  <c r="M73" i="1"/>
  <c r="M72" i="1"/>
  <c r="M70" i="1"/>
  <c r="M69" i="1"/>
  <c r="J69" i="1"/>
  <c r="M68" i="1"/>
  <c r="N67" i="1"/>
  <c r="M67" i="1"/>
  <c r="J67" i="1"/>
  <c r="M66" i="1"/>
  <c r="M65" i="1"/>
  <c r="M63" i="1"/>
  <c r="M62" i="1"/>
  <c r="J62" i="1"/>
  <c r="M60" i="1"/>
  <c r="M59" i="1"/>
  <c r="M58" i="1"/>
  <c r="M57" i="1"/>
  <c r="J57" i="1"/>
  <c r="N55" i="1"/>
  <c r="M55" i="1"/>
  <c r="J55" i="1"/>
  <c r="M54" i="1"/>
  <c r="J54" i="1"/>
  <c r="M53" i="1"/>
  <c r="J53" i="1"/>
  <c r="M52" i="1"/>
  <c r="M51" i="1"/>
  <c r="J51" i="1"/>
  <c r="M50" i="1"/>
  <c r="M49" i="1"/>
  <c r="M48" i="1"/>
  <c r="N47" i="1"/>
  <c r="M47" i="1"/>
  <c r="J47" i="1"/>
  <c r="M46" i="1"/>
  <c r="M44" i="1"/>
  <c r="M43" i="1"/>
  <c r="N42" i="1"/>
  <c r="M42" i="1"/>
  <c r="J42" i="1"/>
  <c r="M40" i="1"/>
  <c r="J40" i="1"/>
  <c r="M39" i="1"/>
  <c r="M36" i="1"/>
  <c r="M35" i="1"/>
  <c r="J35" i="1"/>
  <c r="M34" i="1"/>
  <c r="J34" i="1"/>
  <c r="M32" i="1"/>
  <c r="J32" i="1"/>
  <c r="M31" i="1"/>
  <c r="M30" i="1"/>
  <c r="J30" i="1"/>
  <c r="M29" i="1"/>
  <c r="J29" i="1"/>
  <c r="M28" i="1"/>
  <c r="M27" i="1"/>
  <c r="M26" i="1"/>
  <c r="J26" i="1"/>
  <c r="M25" i="1"/>
  <c r="J25" i="1"/>
  <c r="M23" i="1"/>
  <c r="M21" i="1"/>
  <c r="M20" i="1"/>
  <c r="N19" i="1"/>
  <c r="M19" i="1"/>
  <c r="M18" i="1"/>
  <c r="M17" i="1"/>
  <c r="M16" i="1"/>
  <c r="M15" i="1"/>
  <c r="M14" i="1"/>
  <c r="M13" i="1"/>
  <c r="M12" i="1"/>
  <c r="M11" i="1"/>
  <c r="M10" i="1"/>
  <c r="M9" i="1"/>
  <c r="M8" i="1"/>
  <c r="J8" i="1"/>
  <c r="N7" i="1"/>
  <c r="M7" i="1"/>
  <c r="M6" i="1"/>
  <c r="N5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tc={4F442216-26DC-4D09-9EAD-44D8E921D1D7}</author>
    <author>tc={870866CC-1C9F-42A0-9DA1-B2BB8130E080}</author>
  </authors>
  <commentList>
    <comment ref="J74" authorId="0" shapeId="0" xr:uid="{4F442216-26DC-4D09-9EAD-44D8E921D1D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a survey on November 28, 1972 that saw 150 chum, but they were all dead.</t>
      </text>
    </comment>
    <comment ref="J178" authorId="1" shapeId="0" xr:uid="{870866CC-1C9F-42A0-9DA1-B2BB8130E080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aerial number without stream life curve (SLC) expansion.</t>
      </text>
    </comment>
  </commentList>
</comments>
</file>

<file path=xl/sharedStrings.xml><?xml version="1.0" encoding="utf-8"?>
<sst xmlns="http://schemas.openxmlformats.org/spreadsheetml/2006/main" count="2086" uniqueCount="815">
  <si>
    <t>Stream_Name</t>
  </si>
  <si>
    <t>Stock</t>
  </si>
  <si>
    <t>Species</t>
  </si>
  <si>
    <t>MajorMinor</t>
  </si>
  <si>
    <t>POINT_X</t>
  </si>
  <si>
    <t>POINT_Y</t>
  </si>
  <si>
    <t>AWCnumber</t>
  </si>
  <si>
    <t>DateRange</t>
  </si>
  <si>
    <t>YearsObs</t>
  </si>
  <si>
    <t>MaxFieldSurveyCount</t>
  </si>
  <si>
    <t>DateMaxFieldSurvey</t>
  </si>
  <si>
    <t>MedianPassageLargeProject</t>
  </si>
  <si>
    <t>DayMaxSurvey</t>
  </si>
  <si>
    <t>DayMaxLrgProject</t>
  </si>
  <si>
    <t>Region</t>
  </si>
  <si>
    <t>GeneticsConfirmed</t>
  </si>
  <si>
    <t>GeneticsFineScale</t>
  </si>
  <si>
    <t>Sources</t>
  </si>
  <si>
    <t>Alatna River</t>
  </si>
  <si>
    <t>Summer</t>
  </si>
  <si>
    <t>Chum Salmon</t>
  </si>
  <si>
    <t>Minor</t>
  </si>
  <si>
    <t>334-40-11000-2125-3661</t>
  </si>
  <si>
    <t>Jul 25-Aug 6</t>
  </si>
  <si>
    <t>1960, 1969, 1975</t>
  </si>
  <si>
    <t>Upper Yukon US</t>
  </si>
  <si>
    <t>No</t>
  </si>
  <si>
    <t>LikelyUpKoyMainstYuk</t>
  </si>
  <si>
    <t>Harris et al. 2016; ADFG Aerial Surveys; AWC</t>
  </si>
  <si>
    <t>Alatna River, Malamute Fork</t>
  </si>
  <si>
    <t>334-40-11000-2125-3661-4100</t>
  </si>
  <si>
    <t>Jul 24-Aug 5</t>
  </si>
  <si>
    <t>1960, 1969, 1992-1993, 1995, 1997, 2010-2012, 2015, 2023</t>
  </si>
  <si>
    <t>ADFG Aerial Surveys; AWC</t>
  </si>
  <si>
    <t>Aloha Creek</t>
  </si>
  <si>
    <t>334-40-11000-2125-3355-4045-5036</t>
  </si>
  <si>
    <t>Jul 13-Jul 16</t>
  </si>
  <si>
    <t>1994-1996</t>
  </si>
  <si>
    <t>LikelyLowerSummer</t>
  </si>
  <si>
    <t>ADFG and BLM Aerial Surveys; AWC</t>
  </si>
  <si>
    <t>Andreafsky River, East Fork</t>
  </si>
  <si>
    <t>Major</t>
  </si>
  <si>
    <t>334-20-11000-2451-3030</t>
  </si>
  <si>
    <t>Jun 15-Aug 20</t>
  </si>
  <si>
    <t>1954, 1956, 1958-1962, 1964, 1966, 1968-1993, 1998, 2006, 2013, 2015, 2017-2020, 2022-2024</t>
  </si>
  <si>
    <t>Lower Yukon</t>
  </si>
  <si>
    <t>Yes</t>
  </si>
  <si>
    <t>LowerSummer</t>
  </si>
  <si>
    <t>USFWS 1957; Flannery et al. 2010; JTC 2025; ADFG and USFWS Aerial Surveys; ADFG Genetics Database; AWC</t>
  </si>
  <si>
    <t>Andreafsky River, West Fork</t>
  </si>
  <si>
    <t>334-20-11000-2451</t>
  </si>
  <si>
    <t>Jun 30-Aug 3</t>
  </si>
  <si>
    <t>1954, 1956, 1958-1960, 1962, 1964-1980, 1982, 1984-1988, 1990-1993, 1998, 2006, 2008-2015, 2017-2020, 2022-2024</t>
  </si>
  <si>
    <t>USFWS 1957; JTC 2025; ADFG and USFWS Aerial Surveys; AWC</t>
  </si>
  <si>
    <t>Anvik River</t>
  </si>
  <si>
    <t>334-30-11000-2701</t>
  </si>
  <si>
    <t>Jun 15-Aug 4</t>
  </si>
  <si>
    <t>1957-1958, 1960-1961, 1965-1968, 1970-1983, 1985, 1987-1988, 1990-1991, 1993, 1998, 2007-2015, 2017-2020, 2022-2024</t>
  </si>
  <si>
    <t>Flannery et al. 2010; JTC 2025; ADFG and USFWS Aerial Surveys; AWC</t>
  </si>
  <si>
    <t>Archuelinguk River</t>
  </si>
  <si>
    <t>334-20-11000-2321</t>
  </si>
  <si>
    <t>Jul 6-Aug 15</t>
  </si>
  <si>
    <t>1956, 1958, 1960, 1975, 1977-1979, 1985, 1987, 2011</t>
  </si>
  <si>
    <t>USFWS 1957; ADFG and USFWS Aerial Surveys; AWC</t>
  </si>
  <si>
    <t>Arvesta Creek</t>
  </si>
  <si>
    <t>334-40-11000-2125-3073-4145</t>
  </si>
  <si>
    <t>Jul 23</t>
  </si>
  <si>
    <t>1997</t>
  </si>
  <si>
    <t>ADFG Aerial Surveys</t>
  </si>
  <si>
    <t>Atchuelinguk River</t>
  </si>
  <si>
    <t>334-20-11000-2343-3150</t>
  </si>
  <si>
    <t>Jul 10-Jul 30</t>
  </si>
  <si>
    <t>1989, 2012, 2015, 2018</t>
  </si>
  <si>
    <t>ADFG aerial surveys; AWC</t>
  </si>
  <si>
    <t>Baker Creek</t>
  </si>
  <si>
    <t>Likely summer</t>
  </si>
  <si>
    <t>334-40-11000-2490-3121</t>
  </si>
  <si>
    <t>Aug 15</t>
  </si>
  <si>
    <t>1974</t>
  </si>
  <si>
    <t>LikelyTananaSummer</t>
  </si>
  <si>
    <t>Barton Creek</t>
  </si>
  <si>
    <t>Fall</t>
  </si>
  <si>
    <t>334-40-11000-2490-3140-4065-5025</t>
  </si>
  <si>
    <t>Jul 30-Nov 10</t>
  </si>
  <si>
    <t>1986, 1989, 1994-1995, 1997, 2016, 2018-2022</t>
  </si>
  <si>
    <t>LikelyTananaFall</t>
  </si>
  <si>
    <t>Barton 1998; ADFG Aerial Surveys; AWC</t>
  </si>
  <si>
    <t>Batza Creek</t>
  </si>
  <si>
    <t>334-40-11000-2125-3525</t>
  </si>
  <si>
    <t>Jul 25</t>
  </si>
  <si>
    <t>1975</t>
  </si>
  <si>
    <t>Bear Creek (above Rampart Rapids)</t>
  </si>
  <si>
    <t>334-40-11000-2523</t>
  </si>
  <si>
    <t>Jul 11-Aug 10</t>
  </si>
  <si>
    <t>1984, 1986, 1988, 2010</t>
  </si>
  <si>
    <t>Personal Comm Dennis Gnath 1984; ADFG Aerial Surveys; AWC</t>
  </si>
  <si>
    <t>Bear Creek (below Bullfrog Island)</t>
  </si>
  <si>
    <t>334-35-11000-2005</t>
  </si>
  <si>
    <t>Jul 12-Aug 1</t>
  </si>
  <si>
    <t>1961, 1976, 2012</t>
  </si>
  <si>
    <t>Bear Creek (tributary of Salchaket Slough)</t>
  </si>
  <si>
    <t>334-40-11000-2490-3290-4030</t>
  </si>
  <si>
    <t>Aug 5-19</t>
  </si>
  <si>
    <t>2006, 2013</t>
  </si>
  <si>
    <t>Brinkman et al. 2015; ADFG Aerial Surveys; AWC</t>
  </si>
  <si>
    <t>Bear Creek (tributary of Hogatza River)</t>
  </si>
  <si>
    <t>334-40-11000-2125-3355-4035-5010</t>
  </si>
  <si>
    <t>Jul 4-Jul 30</t>
  </si>
  <si>
    <t>1984, 1985, 1994, 1996</t>
  </si>
  <si>
    <t>Bearpaw River</t>
  </si>
  <si>
    <t>334-40-11000-2490-3140-4115</t>
  </si>
  <si>
    <t>Jul 25-Oct 31</t>
  </si>
  <si>
    <t>1973-1975, 1983, 1985-1987, 1992, 1994-1997, 2002, 2004</t>
  </si>
  <si>
    <t>Barton 1982; ADFG and CAS Aerial Surveys; AWC</t>
  </si>
  <si>
    <t>Beaver Creek (SE of Beaver)</t>
  </si>
  <si>
    <t>334-40-11000-2810-3100</t>
  </si>
  <si>
    <t>Jul 7-Sep 17</t>
  </si>
  <si>
    <t>1988, 1992, 1996-1997, 1999-2000, 2012</t>
  </si>
  <si>
    <t>LikelyBorderUS</t>
  </si>
  <si>
    <t>Collin and Kostohrys 1998; Collin et al. 2002; BLM Aerial Surveys; AWC</t>
  </si>
  <si>
    <t>Beaver Creek (tributary of Anvik River)</t>
  </si>
  <si>
    <t>334-30-11000-2701-3095</t>
  </si>
  <si>
    <t>Jul 15-Aug 4</t>
  </si>
  <si>
    <t>1975-1978, 1980, 1987-1988, 1990, 1993, 2008-2012, 2013-2015, 2017-2020, 2022-2023</t>
  </si>
  <si>
    <t>Bedrock Creek</t>
  </si>
  <si>
    <t>Jul 31</t>
  </si>
  <si>
    <t>1969</t>
  </si>
  <si>
    <t>Bell River</t>
  </si>
  <si>
    <t>Upper Yukon Canada</t>
  </si>
  <si>
    <t>LikelyPorcupine</t>
  </si>
  <si>
    <t>Snow et al. 2015, Sandford et al. 2016</t>
  </si>
  <si>
    <t>Big Creek (tributary of Melozitna River)</t>
  </si>
  <si>
    <t>334-40-11000-2255-3180</t>
  </si>
  <si>
    <t>Jul 20</t>
  </si>
  <si>
    <t>1979</t>
  </si>
  <si>
    <t>BLM Ground Surveys; AWC</t>
  </si>
  <si>
    <t>Big Creek (tributary of Yukon River near Minto, YT)</t>
  </si>
  <si>
    <t>Sep-Oct</t>
  </si>
  <si>
    <t>2010</t>
  </si>
  <si>
    <t>MainstemCanada</t>
  </si>
  <si>
    <t>Ennis et al. 1982; Flannery et al. 2007; Beacham and Porszt 2010</t>
  </si>
  <si>
    <t>Big Salt River</t>
  </si>
  <si>
    <t>334-40-11000-2681</t>
  </si>
  <si>
    <t>Jul 28-Aug 6</t>
  </si>
  <si>
    <t>1974, 2001, 2004</t>
  </si>
  <si>
    <t>BorderUS</t>
  </si>
  <si>
    <t>Flannery et al. 2010; Larson et al. 2017; ADFG and BLM Aerial Surveys; AWC</t>
  </si>
  <si>
    <t>Billy Hawk Creek</t>
  </si>
  <si>
    <t>334-40-11000-2125-3171-4351</t>
  </si>
  <si>
    <t>Jul 23-Aug 3</t>
  </si>
  <si>
    <t>1984, 2009-2011, 2014-2015, 2019-2020</t>
  </si>
  <si>
    <t>Harris et al. 2016; Larson et al. 2017; ADFG Aerial Surveys; AWC</t>
  </si>
  <si>
    <t>Black Sand Creek</t>
  </si>
  <si>
    <t>334-40-11000-2255-3168</t>
  </si>
  <si>
    <t>Jul 1-Jul 31</t>
  </si>
  <si>
    <t>1975-1979, 1985, 2010-2011</t>
  </si>
  <si>
    <t>Blackburn Creek</t>
  </si>
  <si>
    <t>334-30-11000-2951</t>
  </si>
  <si>
    <t>Jul 17-Aug 1</t>
  </si>
  <si>
    <t>1976, 1990-1994, 2012</t>
  </si>
  <si>
    <t>Larson et al. 2017; ADFG Aerial Surveys; AWC</t>
  </si>
  <si>
    <t>Blue Creek</t>
  </si>
  <si>
    <t>334-40-11000-2490-3398</t>
  </si>
  <si>
    <t>Oct 16-Nov 12</t>
  </si>
  <si>
    <t>1974, 1984, 1989, 1995, 2002-2016, 2018, 2021-2022</t>
  </si>
  <si>
    <t>Bluff Cabin Creek</t>
  </si>
  <si>
    <t>334-40-11000-2490-3408</t>
  </si>
  <si>
    <t>Oct 20-Nov 13</t>
  </si>
  <si>
    <t>1989-1990, 1998, 2002, 2004-2016, 2018, 2020-2022, 2024</t>
  </si>
  <si>
    <t>TananaFall</t>
  </si>
  <si>
    <t>ADFG Aerial Surveys; USFWS, BLM, and USGS Ground surveys; AWC</t>
  </si>
  <si>
    <t>Bonanza Creek</t>
  </si>
  <si>
    <t>334-40-11000-2125-3740-4020-5011</t>
  </si>
  <si>
    <t>Aug 6</t>
  </si>
  <si>
    <t>Larson et al. 2017; AWC</t>
  </si>
  <si>
    <t>Bonasila River</t>
  </si>
  <si>
    <t>334-30-11000-2651</t>
  </si>
  <si>
    <t>Jul 21-Jul 30</t>
  </si>
  <si>
    <t>1976, 1985, 2003, 2009, 2015, 2019</t>
  </si>
  <si>
    <t>Larson et al. 2017; ADFG and BLM Aerial Surveys; AWC</t>
  </si>
  <si>
    <t>California Creek (tributary of Dishna River)</t>
  </si>
  <si>
    <t>334-30-11000-2532-3600-4051-5020</t>
  </si>
  <si>
    <t>Olsen et al. 2004; AWC</t>
  </si>
  <si>
    <t>California Creek (tributary of Little Mud River, Innoko River drainage)</t>
  </si>
  <si>
    <t>334-30-11000-2532-3551-4101-5311</t>
  </si>
  <si>
    <t>Jul 21-Jul 24</t>
  </si>
  <si>
    <t>1995, 1997; 2011-2012</t>
  </si>
  <si>
    <t>Olsen et al. 2004; Flannery et al. 2010; ADFG Aerial Surveys; AWC</t>
  </si>
  <si>
    <t>Canyon Creek</t>
  </si>
  <si>
    <t>334-30-11000-2701-3300</t>
  </si>
  <si>
    <t>Jul 12-Jul 23</t>
  </si>
  <si>
    <t>1976, 1978, 1985, 1987-1988, 1990</t>
  </si>
  <si>
    <t>Caribou Creek</t>
  </si>
  <si>
    <t>334-40-11000-2125-3355-4035</t>
  </si>
  <si>
    <t>Jun 22-Aug 6</t>
  </si>
  <si>
    <t>1960, 1975-1980, 1982-1983, 1985, 1987-1988, 1990-1994, 1996-1997, 2006, 2009-2012, 2015, 2018, 2020</t>
  </si>
  <si>
    <t>JTC 2025; ADFG and BLM Aerial Surveys; AWC</t>
  </si>
  <si>
    <t>Carnation Creek</t>
  </si>
  <si>
    <t>334-20-11000-2261</t>
  </si>
  <si>
    <t>2014</t>
  </si>
  <si>
    <t>Chandindu River</t>
  </si>
  <si>
    <t>Jul 29-Aug 31</t>
  </si>
  <si>
    <t>1998-1999, 2001, 2010</t>
  </si>
  <si>
    <t>LikelyMainstemCanada</t>
  </si>
  <si>
    <t>Duncan 2000, 2002; Beacham and Porszt 2010; DFO 2016</t>
  </si>
  <si>
    <t>Charley River</t>
  </si>
  <si>
    <t>334-45-11000-2300</t>
  </si>
  <si>
    <t>Aug 5-Aug 9</t>
  </si>
  <si>
    <t>1997, 2001</t>
  </si>
  <si>
    <t>ADFG and NPS Aerial Surveys; AWC</t>
  </si>
  <si>
    <t>Chatanika River</t>
  </si>
  <si>
    <t>334-40-11000-2490-3151-4020</t>
  </si>
  <si>
    <t>Jul 8-Sep 1</t>
  </si>
  <si>
    <t>1968, 1974, 1976, 1978, 1980, 1982, 1986, 1989, 1991-1997, 2002-2003, 2006, 2010, 2012-2013</t>
  </si>
  <si>
    <t>Brase and Doxey 2006; ADFG Aerial Surveys; AWC</t>
  </si>
  <si>
    <t>Chebanika Creek</t>
  </si>
  <si>
    <t>334-40-11000-2125-3661-4040</t>
  </si>
  <si>
    <t>2018</t>
  </si>
  <si>
    <t>AWC</t>
  </si>
  <si>
    <t>Chena River</t>
  </si>
  <si>
    <t>334-40-11000-2490-3301</t>
  </si>
  <si>
    <t>Jun 30-Aug 5</t>
  </si>
  <si>
    <t>1962-1963, 1970, 1972-2001, 2005-2006, 2008, 2011-2014</t>
  </si>
  <si>
    <t>TananaSummer</t>
  </si>
  <si>
    <t>Olsen et al. 2004; Flannery et al. 2010; JTC 2025; ADFG and USFWS Aerial Surveys; AWC</t>
  </si>
  <si>
    <t>Chena River, Middle (East) Fork</t>
  </si>
  <si>
    <t>334-40-11000-2490-3301-4140</t>
  </si>
  <si>
    <t>Jul 18-Aug 13</t>
  </si>
  <si>
    <t>1974-1978, 1982, 1986, 1992-1993, 1995-1997, 2014</t>
  </si>
  <si>
    <t>ADFG and USFWS Aerial Surveys; AWC</t>
  </si>
  <si>
    <t>Chena River, South Fork</t>
  </si>
  <si>
    <t>334-40-11000-2490-3301-4078</t>
  </si>
  <si>
    <t>Aug 4-Aug 10</t>
  </si>
  <si>
    <t>1977, 2017</t>
  </si>
  <si>
    <t>Ch'idriinjik (Middle Fork of Teedriinjik) River</t>
  </si>
  <si>
    <t>334-40-11000-2925-3340</t>
  </si>
  <si>
    <t>Sep 1-Sep 19</t>
  </si>
  <si>
    <t>2016</t>
  </si>
  <si>
    <t>Rost 1986; AWC</t>
  </si>
  <si>
    <t>Chuilnak River</t>
  </si>
  <si>
    <t>334-20-11000-2343</t>
  </si>
  <si>
    <t>Jul 14-Aug 3</t>
  </si>
  <si>
    <t>1966, 1971, 1976, 1984-1985, 1987-1988, 1990, 2009-2011, 2020</t>
  </si>
  <si>
    <t>Flannery et al. 2007; ADFG Aerial Surveys; AWC</t>
  </si>
  <si>
    <t>Clear Creek (tributary of Hogatza River)</t>
  </si>
  <si>
    <t>334-40-11000-2125-3355-4045</t>
  </si>
  <si>
    <t>Jun 21-Jul 28</t>
  </si>
  <si>
    <t>1960, 1975, 1977-1980, 1982-1983, 1985, 1987-1988, 1990-1992, 1994-1996, 2005-2006, 2009-2012, 2015, 2018</t>
  </si>
  <si>
    <t>Esse and Kretsinger 2009; JTC 2025; ADFG and BLM Aerial Surveys; ADFG Genetics Database; AWC</t>
  </si>
  <si>
    <t>Clear Creek (tributary of Julius Cr.)</t>
  </si>
  <si>
    <t>334-40-11000-2490-3200-4011-5117-6115</t>
  </si>
  <si>
    <t>Jul 25-Sep 21</t>
  </si>
  <si>
    <t>1978, 1984</t>
  </si>
  <si>
    <t>Clear Creek (tributary of Salchaket Slough)</t>
  </si>
  <si>
    <t>334-40-11000-2490-3290-4010</t>
  </si>
  <si>
    <t>Jun 27-Aug 22</t>
  </si>
  <si>
    <t>1995, 2014</t>
  </si>
  <si>
    <t>ADFG Genetics Archive; AWC</t>
  </si>
  <si>
    <t>Clearwater Lake and Outlet Creek</t>
  </si>
  <si>
    <t>334-40-11000-2490-3412-4004</t>
  </si>
  <si>
    <t>Oct 20-Nov 8</t>
  </si>
  <si>
    <t>1973-1974, 1980, 1990, 1992, 1995-1996, 1998, 2002-2006, 2012-2016, 2018, 2020-2021, 2024</t>
  </si>
  <si>
    <t>Coleen River</t>
  </si>
  <si>
    <t>334-45-11000-2001-3271</t>
  </si>
  <si>
    <t>Jul 29-Sep 19</t>
  </si>
  <si>
    <t>1985, 2017</t>
  </si>
  <si>
    <t>Rost 1986; McKenna 2017; ADFG and USFWS Aerial Survey; AWC</t>
  </si>
  <si>
    <t>Comeback Creek</t>
  </si>
  <si>
    <t>334-40-11000-2125-3355-4045-5036-6014</t>
  </si>
  <si>
    <t>Jul 16</t>
  </si>
  <si>
    <t>1995</t>
  </si>
  <si>
    <t>Dakli River</t>
  </si>
  <si>
    <t>334-40-11000-2125-3225</t>
  </si>
  <si>
    <t>Jul 13-Aug 3</t>
  </si>
  <si>
    <t>1975-1978, 1980, 1983, 1987-1988, 1991-1995, 1997-1998, 2009, 2011-2012, 2015, 2018-2020</t>
  </si>
  <si>
    <t>Delta Clearwater Creek</t>
  </si>
  <si>
    <t>334-40-11000-2490-3416</t>
  </si>
  <si>
    <t>Sep 23-Nov 7</t>
  </si>
  <si>
    <t>1964, 1971, 1973-1974, 1976, 1980, 1987, 1989, 1991-2007, 2009, 2013, 2016, 2018, 2020-2023</t>
  </si>
  <si>
    <t>ADFG Aerial and Boat Surveys; AWC</t>
  </si>
  <si>
    <t>Delta River</t>
  </si>
  <si>
    <t>334-40-11000-2490-3390</t>
  </si>
  <si>
    <t>Sep 23-Dec 19</t>
  </si>
  <si>
    <t>1972-1978, 1980-2024</t>
  </si>
  <si>
    <t>Barton 1992; Borba et al. 2017; Flannery et al. 2007; JTC 2025; ADFG Aerial and Ground Surveys; ADFG Genetics Database; AWC</t>
  </si>
  <si>
    <t>Discovery Creek</t>
  </si>
  <si>
    <t>334-40-11000-2125-3591</t>
  </si>
  <si>
    <t>Dishna River</t>
  </si>
  <si>
    <t>334-30-11000-2532-3600</t>
  </si>
  <si>
    <t>Jul 15-Aug 1</t>
  </si>
  <si>
    <t>1974-1975, 1993</t>
  </si>
  <si>
    <t>Millard 1995; ADFG Aerial Surveys; AWC</t>
  </si>
  <si>
    <t>Donjek River</t>
  </si>
  <si>
    <t>Sep 20-Oct 21</t>
  </si>
  <si>
    <t>1982, 1985, 1992-1993</t>
  </si>
  <si>
    <t>White</t>
  </si>
  <si>
    <t>Ennis et al. 1982; Milligan et al. 1984; Flannery et al. 2010; DFO Aerial Surveys</t>
  </si>
  <si>
    <t>Draanjik (Black) River</t>
  </si>
  <si>
    <t>334-45-11000-2001-3050-4040</t>
  </si>
  <si>
    <t>Jul 30</t>
  </si>
  <si>
    <t>1985</t>
  </si>
  <si>
    <t>Rost 1986; ADFG, BLM, CAS, and USFWS Aerial Surveys; AWC</t>
  </si>
  <si>
    <t>Draanjik (Black) River, Grayling Fork</t>
  </si>
  <si>
    <t>334-45-11000-2001-3050-4040-5339</t>
  </si>
  <si>
    <t>Jul 29</t>
  </si>
  <si>
    <t>USFWS Aerial Surveys</t>
  </si>
  <si>
    <t>Dugan Creek</t>
  </si>
  <si>
    <t>334-30-11000-2981</t>
  </si>
  <si>
    <t>Dulbi River</t>
  </si>
  <si>
    <t>334-40-11000-2125-3140</t>
  </si>
  <si>
    <t>Jul 26-Jul 30</t>
  </si>
  <si>
    <t>2011, 2019</t>
  </si>
  <si>
    <t>Harris et al. 2016; ADFG and USFWS Aerial Surveys; AWC</t>
  </si>
  <si>
    <t>Ecuilnguaraq River</t>
  </si>
  <si>
    <t>334-10-10700-2115</t>
  </si>
  <si>
    <t>Jul 14-Sep 9</t>
  </si>
  <si>
    <t>2019, 2023</t>
  </si>
  <si>
    <t>Eddy Creek</t>
  </si>
  <si>
    <t>334-35-11000-2040-3450</t>
  </si>
  <si>
    <t>2011, 2015</t>
  </si>
  <si>
    <t>Favorite Creek (tributary of Melozitna River)</t>
  </si>
  <si>
    <t>334-40-11000-2255-3122</t>
  </si>
  <si>
    <t>Fish Creek</t>
  </si>
  <si>
    <t>334-40-11000-2125-3740-4020</t>
  </si>
  <si>
    <t>Jul 29-Aug 17</t>
  </si>
  <si>
    <t>1975, 1985</t>
  </si>
  <si>
    <t>ADFG and JFWT Aerial Surveys; AWC</t>
  </si>
  <si>
    <t>Fishing Branch River</t>
  </si>
  <si>
    <t>Sep 25-Nov 19</t>
  </si>
  <si>
    <t>1971-2023</t>
  </si>
  <si>
    <t>Porcupine</t>
  </si>
  <si>
    <t>Cox 1999; Flannery et al. 2007; Snow 2014, 2015; Sandford 2016; JTC 2025; ADFG, ECFS, EDI, and DFO Aerial Surveys; ADFG Genetics Database</t>
  </si>
  <si>
    <t>Five-mile Clearwater River</t>
  </si>
  <si>
    <t>334-40-11000-2490-3338-4202</t>
  </si>
  <si>
    <t>Oct 11</t>
  </si>
  <si>
    <t>Flat Creek</t>
  </si>
  <si>
    <t>334-40-11000-2490-3329-4088</t>
  </si>
  <si>
    <t>1977, 1994, 1996-1997</t>
  </si>
  <si>
    <t>Finn et al. 1998; ADFG Ground and Aerial surveys; AWC</t>
  </si>
  <si>
    <t>Fox Creek</t>
  </si>
  <si>
    <t>334-40-11000-2255-3135</t>
  </si>
  <si>
    <t>Jul 12-Jul 29</t>
  </si>
  <si>
    <t>1975, 1977-1980, 1985-1986</t>
  </si>
  <si>
    <t>ADFG Aerial Surveys; BLM Ground Surveys; AWC</t>
  </si>
  <si>
    <t>French Creek</t>
  </si>
  <si>
    <t>334-40-11000-2490-3315-4009-5020</t>
  </si>
  <si>
    <t>Aug 28-Sep 2</t>
  </si>
  <si>
    <t>1994</t>
  </si>
  <si>
    <t>BLAB Ground Surveys; AWC</t>
  </si>
  <si>
    <t>Geiger Creek</t>
  </si>
  <si>
    <t>334-40-11000-2490-3140-4065-5070</t>
  </si>
  <si>
    <t>Sep 7-Oct 30</t>
  </si>
  <si>
    <t>1974-2005, 2010, 2013, 2015-2016, 2018-2019, 2021</t>
  </si>
  <si>
    <t>Gisasa River</t>
  </si>
  <si>
    <t>334-40-11000-2125-3055</t>
  </si>
  <si>
    <t>Jun 16-Aug 8</t>
  </si>
  <si>
    <t>1974-1975, 1977, 1979, 1982-1983, 1985-1988, 1990-1993, 1995, 1997, 2006, 2008-2011, 2013, 2015, 2018, 2020</t>
  </si>
  <si>
    <t>Flannery et al. 2010; Harris et al. 2016; JTC 2025; ADFG and USFWS Aerial Surveys; ADFG Genetics Database; AWC</t>
  </si>
  <si>
    <t>Glacier Creek (tributary of Julius Creek)</t>
  </si>
  <si>
    <t>Oct 20-30</t>
  </si>
  <si>
    <t>2007, 2011, 2013</t>
  </si>
  <si>
    <t>Goodpaster River</t>
  </si>
  <si>
    <t>334-40-11000-2490-3407</t>
  </si>
  <si>
    <t>Jul 15-Aug 18</t>
  </si>
  <si>
    <t>1960, 1973-1974, 1976, 1983-1984, 1990, 1993-1994, 1997-1998, 2000, 2002, 2005-2006</t>
  </si>
  <si>
    <t>Gryska 2020; ADFG and NES Aerial Surveys</t>
  </si>
  <si>
    <t>Grayling Creek</t>
  </si>
  <si>
    <t>334-30-11000-2781</t>
  </si>
  <si>
    <t>1976, 1991, 2012, 2014</t>
  </si>
  <si>
    <t>Hawk River</t>
  </si>
  <si>
    <t>334-30-11000-2651-3291</t>
  </si>
  <si>
    <t>Jul 23-Jul 27</t>
  </si>
  <si>
    <t>1971, 2003, 2009, 2015, 2018</t>
  </si>
  <si>
    <t>Helpmejack Creek</t>
  </si>
  <si>
    <t>334-40-11000-2125-3661-4085</t>
  </si>
  <si>
    <t>Jul 28-Jul 31</t>
  </si>
  <si>
    <t>1992-1993, 2018</t>
  </si>
  <si>
    <t>Henshaw (Sozhekla) Creek</t>
  </si>
  <si>
    <t>334-40-11000-2125-3701</t>
  </si>
  <si>
    <t>Jun 21-Aug 11</t>
  </si>
  <si>
    <t>1969, 1975-1976, 1982-1988, 1990-1991, 1993-1999, 2001-2002, 2015, 2018, 2020, 2023</t>
  </si>
  <si>
    <t>UpperKoy_MainstYukon</t>
  </si>
  <si>
    <t>Flannery et al. 2010; JTC 2025; ADFG and USFWS Aerial Surveys; ADFG Genetics Database; AWC</t>
  </si>
  <si>
    <t>High Creek</t>
  </si>
  <si>
    <t>334-40-11000-2125-3355-4031</t>
  </si>
  <si>
    <t>Jul 12</t>
  </si>
  <si>
    <t>1996</t>
  </si>
  <si>
    <t>BLM Aerial Surveys; AWC</t>
  </si>
  <si>
    <t>Hodzana River</t>
  </si>
  <si>
    <t>334-40-11000-2799-3004</t>
  </si>
  <si>
    <t>Jul 25-Sep 25</t>
  </si>
  <si>
    <t>1983-1985, 2011</t>
  </si>
  <si>
    <t>Rost 1986; ADFG and USFWS Aerial Surveys; AWC</t>
  </si>
  <si>
    <t>Hogatza River</t>
  </si>
  <si>
    <t>334-40-11000-2125-3355</t>
  </si>
  <si>
    <t>2012</t>
  </si>
  <si>
    <t>Harris et al. 2016; AWC</t>
  </si>
  <si>
    <t>Hughes Creek</t>
  </si>
  <si>
    <t>334-40-11000-2125-3555</t>
  </si>
  <si>
    <t>Aug 2-Aug 14</t>
  </si>
  <si>
    <t>2014, 2018</t>
  </si>
  <si>
    <t>Hult Creek</t>
  </si>
  <si>
    <t>334-40-11000-2490-3140-4146-5700</t>
  </si>
  <si>
    <t>Sep 23-Oct 15</t>
  </si>
  <si>
    <t>1991, 1994-1997, 2004</t>
  </si>
  <si>
    <t>ADFG and CAS Aerial Surveys; AWC</t>
  </si>
  <si>
    <t>Iditarod River</t>
  </si>
  <si>
    <t>334-30-11000-2532-3500</t>
  </si>
  <si>
    <t>Jul 15</t>
  </si>
  <si>
    <t>Illinois Creek (tributary of Yukon River near Tozitna River)</t>
  </si>
  <si>
    <t>334-30-11000-2532-3551-4101-5301</t>
  </si>
  <si>
    <t>Jul-Oct</t>
  </si>
  <si>
    <t>1991</t>
  </si>
  <si>
    <t>Morsell 1991; AWC</t>
  </si>
  <si>
    <t>Illinois Creek (tributary of Little Mud River, Innoko River drainage)</t>
  </si>
  <si>
    <t>334-40-11000-2405</t>
  </si>
  <si>
    <t>Indian River</t>
  </si>
  <si>
    <t>334-40-11000-2125-3500-4008</t>
  </si>
  <si>
    <t>Jul 11-Aug 11</t>
  </si>
  <si>
    <t>1977, 1983, 1990, 1992-1993, 2011-2012, 2018</t>
  </si>
  <si>
    <t>Iniakuk River</t>
  </si>
  <si>
    <t>334-40-11000-2125-3661-4100-5025</t>
  </si>
  <si>
    <t>1992-1993, 1995, 1997, 2010-2012, 2015, 2023</t>
  </si>
  <si>
    <t>Jack Beaver Creek</t>
  </si>
  <si>
    <t>344-40-11000-2125-3661-4061</t>
  </si>
  <si>
    <t>Jackson Creek</t>
  </si>
  <si>
    <t>334-30-11000-2651-3351</t>
  </si>
  <si>
    <t>Jul 23-Jul 25</t>
  </si>
  <si>
    <t>1985, 2009</t>
  </si>
  <si>
    <t>Jim River</t>
  </si>
  <si>
    <t>334-40-11000-2125-3740-4080</t>
  </si>
  <si>
    <t>Jul 23-Sep 25</t>
  </si>
  <si>
    <t>1975-1976, 1978, 1980-1981, 1983-1999, 2009-2012, 2015</t>
  </si>
  <si>
    <t>Flannery et al. 2010; ADFG, BLM, JFWT, and NWT Aerial Surveys; AWC</t>
  </si>
  <si>
    <t>John River, Malamute Fork</t>
  </si>
  <si>
    <t>334-40-11000-2125-3841-4041</t>
  </si>
  <si>
    <t>Aug 22</t>
  </si>
  <si>
    <t>Kako Creek</t>
  </si>
  <si>
    <t>334-20-11000-2201</t>
  </si>
  <si>
    <t>1972, 2004</t>
  </si>
  <si>
    <t>Spencer and Eiler 2007; ADFG Aerial Surveys; AWC</t>
  </si>
  <si>
    <t>Kala Creek</t>
  </si>
  <si>
    <t>334-40-11000-200-3050</t>
  </si>
  <si>
    <t>Jul 28</t>
  </si>
  <si>
    <t>1977</t>
  </si>
  <si>
    <t>Kaltag River</t>
  </si>
  <si>
    <t>334-35-11000-2065</t>
  </si>
  <si>
    <t>Jun 18-Aug 1</t>
  </si>
  <si>
    <t>1960, 1974-1975, 1991, 2003, 2009-2010, 2012, 2015</t>
  </si>
  <si>
    <t>Larson et al. 2017; JTC 2025; ADFG Aerial Surveys; AWC</t>
  </si>
  <si>
    <t>Kandik River</t>
  </si>
  <si>
    <t>334-45-11000-2325</t>
  </si>
  <si>
    <t>Aug 5</t>
  </si>
  <si>
    <t>Kateel River</t>
  </si>
  <si>
    <t>334-40-11000-2125-3073</t>
  </si>
  <si>
    <t>Jun 26-Jul 31</t>
  </si>
  <si>
    <t>1960, 1974-1976, 1980, 1990-1993, 1997-1998, 2001-2002, 2009, 2011-2012, 2019</t>
  </si>
  <si>
    <t>VanHatten 2005; Harris et al. 2016; ADFG and USFWS Aerial Surveys; AWC</t>
  </si>
  <si>
    <t>Kevinjik Creek</t>
  </si>
  <si>
    <t>334-45-11000-2001-3050-4040-5301-6075</t>
  </si>
  <si>
    <t>Sep 23-Sep 29</t>
  </si>
  <si>
    <t>1975, 1999, 2008</t>
  </si>
  <si>
    <t>Rost 1986; ADFG and BLM Aerial Surveys; AWC</t>
  </si>
  <si>
    <t>Klikhtentotzna Creek</t>
  </si>
  <si>
    <t>334-40-11000-2125-3355-4351</t>
  </si>
  <si>
    <t>Jul 12-Jul 24</t>
  </si>
  <si>
    <t>1996, 2011</t>
  </si>
  <si>
    <t>Klondike River</t>
  </si>
  <si>
    <t>Aug 20-Aug 31</t>
  </si>
  <si>
    <t>1972, 1978-1979</t>
  </si>
  <si>
    <t>Hancock and Marshall 1984; DFO 2016; AMR 1972; DFO Aerial and Ground Surveys</t>
  </si>
  <si>
    <t>Kluane Lake</t>
  </si>
  <si>
    <t>Oct 14-Nov 20</t>
  </si>
  <si>
    <t>1967, 1973, 2002</t>
  </si>
  <si>
    <t>LikelyWhite</t>
  </si>
  <si>
    <t>Sweitzer 1973; Cox 1999; Hancock and Marshall 1984; Anderton and Tobler 2004; Wilson 2006; FISS</t>
  </si>
  <si>
    <t>Kluane River</t>
  </si>
  <si>
    <t>Sep 20-Nov 10</t>
  </si>
  <si>
    <t>1961, 1965-2006, 2017-2024</t>
  </si>
  <si>
    <t>Fernet 1980; Milligan et al. 1984; Cox 1999; Flannery et al. 2007; JTC 2025; USFWS, ADFG, ECFS, and DFO Aerial Surveys; FISS</t>
  </si>
  <si>
    <t>Koidern River</t>
  </si>
  <si>
    <t>Oct 1-Oct 25</t>
  </si>
  <si>
    <t>1977, 1979-1980, 1984-1985, 1987, 1989, 1991-1992</t>
  </si>
  <si>
    <t>Beak Consultants Limited 1977; Fernet 1980; Foothills Pipe Lines Ltd 1981; Hancock and Marshall 1984; JTC 2025; DFO Aerial Surveys; FISS</t>
  </si>
  <si>
    <t>Koyukuk River, North Fork</t>
  </si>
  <si>
    <t>334-40-11000-2125-3911</t>
  </si>
  <si>
    <t>Jul 29-Jul 30</t>
  </si>
  <si>
    <t>1985, 1992</t>
  </si>
  <si>
    <t>Koyukuk River, South Fork</t>
  </si>
  <si>
    <t>334-40-11000-2125-3740</t>
  </si>
  <si>
    <t>Jul 2-Aug 27</t>
  </si>
  <si>
    <t>1969, 1971, 1974-1978, 1980-1997, 1999, 2010, 2012, 2015</t>
  </si>
  <si>
    <t>Melegari and Troyer 1995; Wiswar 1997, 1998; Flannery et al. 2007; ADFG, JFWT, and USFWS Aerial Surveys; AWC</t>
  </si>
  <si>
    <t>Little Indian River</t>
  </si>
  <si>
    <t>334-40-11000-2125-3500-4006</t>
  </si>
  <si>
    <t>Jul 26</t>
  </si>
  <si>
    <t>2011</t>
  </si>
  <si>
    <t>USFWS Aerial Surveys; AWC</t>
  </si>
  <si>
    <t>Little Lockwood Creek</t>
  </si>
  <si>
    <t>334-30-11000-2651-3291-4402</t>
  </si>
  <si>
    <t>Jul 25-Aug 13</t>
  </si>
  <si>
    <t>1957, 2003, 2014-2015, 2018</t>
  </si>
  <si>
    <t>Little Melozitna River</t>
  </si>
  <si>
    <t>334-40-11000-2255-3420</t>
  </si>
  <si>
    <t>Jul 9-Jul 23</t>
  </si>
  <si>
    <t>1979, 2011</t>
  </si>
  <si>
    <t>ADFG Aerial Surveys; BLM Trammel Net Surveys; AWC</t>
  </si>
  <si>
    <t>Little Salcha River</t>
  </si>
  <si>
    <t>334-40-11000-2490-3325</t>
  </si>
  <si>
    <t>1953</t>
  </si>
  <si>
    <t>Warner 1953</t>
  </si>
  <si>
    <t>Lost Slough</t>
  </si>
  <si>
    <t>334-40-11000-2490-3200-4011-5117</t>
  </si>
  <si>
    <t>Sep 24-Nov 5</t>
  </si>
  <si>
    <t>1973, 1983, 1995-1999, 2011, 2015-2018, 2020-2022</t>
  </si>
  <si>
    <t>ADFG and TCC Aerial and Ground Surveys</t>
  </si>
  <si>
    <t>Marion Creek</t>
  </si>
  <si>
    <t>334-40-11000-2125-3912-4112</t>
  </si>
  <si>
    <t>1992</t>
  </si>
  <si>
    <t>Mayo River</t>
  </si>
  <si>
    <t>August</t>
  </si>
  <si>
    <t>1972</t>
  </si>
  <si>
    <t>Kendel 1973; Hancock and Marshall 1984; Cox 1999; Tobler and Schonewille 2009; DFO Surveys</t>
  </si>
  <si>
    <t>McDonald Creek (tributary of Anvik River)</t>
  </si>
  <si>
    <t>334-30-11000-2701-3446</t>
  </si>
  <si>
    <t>Jul 14-Jul 30</t>
  </si>
  <si>
    <t>1975-1976, 1978, 1981, 1987, 1990</t>
  </si>
  <si>
    <t>McDonald Creek (tributary of Salchaket Slough)</t>
  </si>
  <si>
    <t>334-40-11000-2490-3290-4020</t>
  </si>
  <si>
    <t>2006</t>
  </si>
  <si>
    <t>McKinley River</t>
  </si>
  <si>
    <t>334-40-11000-2490-3140-4145</t>
  </si>
  <si>
    <t>Oct 13-Oct 31</t>
  </si>
  <si>
    <t>1974, 1995, 2004</t>
  </si>
  <si>
    <t>McLane's Creek</t>
  </si>
  <si>
    <t>334-40-11000-2125-3355-4010</t>
  </si>
  <si>
    <t>Aug 10</t>
  </si>
  <si>
    <t>McQuesten River</t>
  </si>
  <si>
    <t>Sep 29</t>
  </si>
  <si>
    <t>Sweitzer 1974; Buchan 1993; ADFG Genetics Database; FISS</t>
  </si>
  <si>
    <t>Melozi Hot Springs Creek (tributary of Melozitna River)</t>
  </si>
  <si>
    <t>334-40-11000-2255-3174</t>
  </si>
  <si>
    <t>Jul 1-Aug 5</t>
  </si>
  <si>
    <t>1975-1980, 1982-1983, 1985-1986, 1988, 1990-1998, 2009-2012</t>
  </si>
  <si>
    <t>Melozimoran Creek</t>
  </si>
  <si>
    <t>334-40-11000-2255-3420-4011</t>
  </si>
  <si>
    <t>Mentanontli River</t>
  </si>
  <si>
    <t>334-40-11000-2125-3600-4020</t>
  </si>
  <si>
    <t>Jul 27</t>
  </si>
  <si>
    <t>Mettenpherg Creek</t>
  </si>
  <si>
    <t>334-40-11000-2125-3661-4100-5055</t>
  </si>
  <si>
    <t>Jul 28-Jul 30</t>
  </si>
  <si>
    <t>1992, 2015</t>
  </si>
  <si>
    <t>Mickey Creek</t>
  </si>
  <si>
    <t>Aug 24-Sep 27</t>
  </si>
  <si>
    <t>DFO 2016; BLM Aerial Surveys; FISS</t>
  </si>
  <si>
    <t>Miller Creek</t>
  </si>
  <si>
    <t>DFO Memo by Aro 1973</t>
  </si>
  <si>
    <t>Minook Creek</t>
  </si>
  <si>
    <t>Likely fall</t>
  </si>
  <si>
    <t>334-40-11000-2600</t>
  </si>
  <si>
    <t>Jul 18-Jul 23</t>
  </si>
  <si>
    <t>1958, 1991-1992, 2015</t>
  </si>
  <si>
    <t>Larson et al. 2017; ADFG Aerial Surveys; USFWS Ground Surveys; AWC</t>
  </si>
  <si>
    <t>Moody Creek</t>
  </si>
  <si>
    <t>334-40-11000-2490-3200-4091-5102</t>
  </si>
  <si>
    <t>2004</t>
  </si>
  <si>
    <t>Moose Creek (tributary of Bearpaw River, Kantishna River drainage)</t>
  </si>
  <si>
    <t>334-40-11000-2490-3140-4115-5044</t>
  </si>
  <si>
    <t>Oct 10-Oct 13</t>
  </si>
  <si>
    <t>1974, 2004</t>
  </si>
  <si>
    <t>Moose Creek (tributary of Yukon River near Rampart)</t>
  </si>
  <si>
    <t>334-40-11000-2549</t>
  </si>
  <si>
    <t>Morelock Creek</t>
  </si>
  <si>
    <t>334-40-11000-2503</t>
  </si>
  <si>
    <t>Aug 3</t>
  </si>
  <si>
    <t>1978</t>
  </si>
  <si>
    <t>Nageethluk River</t>
  </si>
  <si>
    <t>334-20-11000-2343-3104</t>
  </si>
  <si>
    <t>Nee'lnlii (Fish Hole) Creek</t>
  </si>
  <si>
    <t>Sep 26-Sep 29</t>
  </si>
  <si>
    <t>1985, 1999, 2017</t>
  </si>
  <si>
    <t>Rost 1986; McKenna 2017; ADFG Aerial Surveys; AWC</t>
  </si>
  <si>
    <t>Nenana River</t>
  </si>
  <si>
    <t>334-40-11000-2490-3200</t>
  </si>
  <si>
    <t>Jul 27-Oct 21</t>
  </si>
  <si>
    <t>1974, 1993-1994, 1998, 2007, 2013, 2015, 2017, 2021-2022, 2024</t>
  </si>
  <si>
    <t>Nenana River, Seventeenmile Slough</t>
  </si>
  <si>
    <t>334-40-11000-2490-3200-4011</t>
  </si>
  <si>
    <t>Jul 18-Nov 6</t>
  </si>
  <si>
    <t>1974, 1977, 1983, 1985-1988, 1990-1994, 1996-2002, 2006, 2011, 2013, 2018, 2021-2022</t>
  </si>
  <si>
    <t>Ninemile River</t>
  </si>
  <si>
    <t>334-35-11000-2083</t>
  </si>
  <si>
    <t>Jul 24</t>
  </si>
  <si>
    <t>2012, 2014-2015</t>
  </si>
  <si>
    <t>Nulato River</t>
  </si>
  <si>
    <t>334-35-11000-2091</t>
  </si>
  <si>
    <t>Jun 20-Aug 10</t>
  </si>
  <si>
    <t>1958, 1960-1961, 1974-1980, 1982, 1985-1988, 1990-1993, 1995, 1998, 2006-2015, 2017-2020, 2022-2024</t>
  </si>
  <si>
    <t>Flannery et al. 2010; Larson et al. 2017; JTC 2025; ADFG Aerial Surveys; ADFG Genetics Database; AWC</t>
  </si>
  <si>
    <t>Nulato River, South Fork</t>
  </si>
  <si>
    <t>334-35-11000-2091-3011</t>
  </si>
  <si>
    <t>Jul 9-Aug 10</t>
  </si>
  <si>
    <t>1958, 1960-1961, 1974-1981, 1983, 1985-1988, 1990-1993, 1995-1996, 1998, 2006-2015, 2017-2020, 2022-2024</t>
  </si>
  <si>
    <t>Old Crow River</t>
  </si>
  <si>
    <t>Oct 20</t>
  </si>
  <si>
    <t>1998, 2014</t>
  </si>
  <si>
    <t>Boyce 1999; EDI 2015; FISS</t>
  </si>
  <si>
    <t>Otter Creek (tributary of Iditarod River)</t>
  </si>
  <si>
    <t>334-30-11000-2532-3500-4209</t>
  </si>
  <si>
    <t>Otter Creek (tributary of Anvik River)</t>
  </si>
  <si>
    <t>334-30-11000-2701-3299</t>
  </si>
  <si>
    <t>Jul 12-Aug 4</t>
  </si>
  <si>
    <t>1975-1976, 1978-1981, 1987-1988, 1990, 2008-2015, 2017-2020, 2022-2023</t>
  </si>
  <si>
    <t>Paradise Creek</t>
  </si>
  <si>
    <t>334-30-11000-2647-3015</t>
  </si>
  <si>
    <t>2015</t>
  </si>
  <si>
    <t>Pelly River</t>
  </si>
  <si>
    <t>1965-1967, 1977, 1993, 2010</t>
  </si>
  <si>
    <t>Foothills Pipe Line (Yukon) Ltd. 1978; Cox 1999; Flannery et al. 2010; Beacham and Porzst 2010; DFO Aerial Surveys</t>
  </si>
  <si>
    <t>Pocahontas Creek</t>
  </si>
  <si>
    <t>334-40-11000-2125-3500-4020</t>
  </si>
  <si>
    <t>Aug 2</t>
  </si>
  <si>
    <t>Porcupine River</t>
  </si>
  <si>
    <t>334-45-11000-2001</t>
  </si>
  <si>
    <t>Sep 23</t>
  </si>
  <si>
    <t>Schonewille and Anderton 2005</t>
  </si>
  <si>
    <t>Qerrirtaq River</t>
  </si>
  <si>
    <t>334-10-10700-2145</t>
  </si>
  <si>
    <t>Rabbit Creek</t>
  </si>
  <si>
    <t>334-40-11000-2490-3200-4028-5025</t>
  </si>
  <si>
    <t>July</t>
  </si>
  <si>
    <t>1989</t>
  </si>
  <si>
    <t>Ray River</t>
  </si>
  <si>
    <t>334-40-11000-2685</t>
  </si>
  <si>
    <t>Jul 29-Jul 31</t>
  </si>
  <si>
    <t>Reindeer River</t>
  </si>
  <si>
    <t>334-30-11000-2422-3180</t>
  </si>
  <si>
    <t>Aug 8</t>
  </si>
  <si>
    <t>2008</t>
  </si>
  <si>
    <t>Richardson Clearwater River</t>
  </si>
  <si>
    <t>334-40-11000-2490-3370</t>
  </si>
  <si>
    <t>Oct 11-Nov 17</t>
  </si>
  <si>
    <t>1974, 1976, 1979, 1983, 1989, 1990, 1994, 2001, 2003-2004, 2006-2016, 2022, 2024</t>
  </si>
  <si>
    <t>Barton 1992; ADFG Aerial Surveys; AWC</t>
  </si>
  <si>
    <t>Robinhood Creek</t>
  </si>
  <si>
    <t>334-30-11000-2701-3131</t>
  </si>
  <si>
    <t>Jul 16-Jul 26</t>
  </si>
  <si>
    <t>1976-1977, 2014</t>
  </si>
  <si>
    <t>Rockybottom Creek</t>
  </si>
  <si>
    <t>334-40-11000-2125-3661-4090</t>
  </si>
  <si>
    <t>Jul 30-Jul 31</t>
  </si>
  <si>
    <t>1992, 2018</t>
  </si>
  <si>
    <t>Rodo River</t>
  </si>
  <si>
    <t>334-35-11000-2055</t>
  </si>
  <si>
    <t>Jul 9-Jul 31</t>
  </si>
  <si>
    <t>1960, 1974-1976, 1978, 1985, 1988, 1990-1993, 1995-1997, 2009, 2011-2012, 2014-2015</t>
  </si>
  <si>
    <t>Larson et al. 2017; JTC 2025; ADFG and BSFA Aerial Surveys; AWC</t>
  </si>
  <si>
    <t>Salcha River</t>
  </si>
  <si>
    <t>334-40-11000-2490-3329</t>
  </si>
  <si>
    <t>Jun 29-Oct 10</t>
  </si>
  <si>
    <t>1960, 1962, 1964-2002, 2005-2007, 2011, 2014</t>
  </si>
  <si>
    <t>Barton 1992; Olson et al. 2004; Borba et al. 2017; Flannery et al. 2010; JTC 2025; ADFG Aerial Surveys; ADFG Genetics Database; AWC</t>
  </si>
  <si>
    <t>Salmon Trout River</t>
  </si>
  <si>
    <t>334-45-11000-2001-3300</t>
  </si>
  <si>
    <t>Sep 19-Oct 20</t>
  </si>
  <si>
    <t>1974-1976</t>
  </si>
  <si>
    <t>Barton 1982; ADFG Aerial Surveys; AWC</t>
  </si>
  <si>
    <t>Sheenjek River</t>
  </si>
  <si>
    <t>334-45-11000-2001-3075</t>
  </si>
  <si>
    <t>Jul 30-Nov 5</t>
  </si>
  <si>
    <t>1973-1987, 1989-1991, 2009, 2016</t>
  </si>
  <si>
    <t>Flannery et al. 2007; JTC 2025; ADFG and USFWS Aerial Surveys; ADFG Genetics Database; AWC</t>
  </si>
  <si>
    <t>Sheep Creek (tributary of Chisana River)</t>
  </si>
  <si>
    <t>Oct 27-Nov17</t>
  </si>
  <si>
    <t>1975, 1977</t>
  </si>
  <si>
    <t>Shovel Creek</t>
  </si>
  <si>
    <t>334-30-11000-2960-3016</t>
  </si>
  <si>
    <t>Simon Creek</t>
  </si>
  <si>
    <t>334-30-11000-2881</t>
  </si>
  <si>
    <t>Jul 15-Jul 25</t>
  </si>
  <si>
    <t>1978, 1990, 2014-2015</t>
  </si>
  <si>
    <t>Sinyalak Creek</t>
  </si>
  <si>
    <t>334-40-11000-2125-3661-4030</t>
  </si>
  <si>
    <t>Jul 31-Aug 1</t>
  </si>
  <si>
    <t>1969, 2018</t>
  </si>
  <si>
    <t>Siruk Creek</t>
  </si>
  <si>
    <t>334-40-11000-2125-3661-4035</t>
  </si>
  <si>
    <t>Jul 28-Aug 9</t>
  </si>
  <si>
    <t>Sixty Mile River</t>
  </si>
  <si>
    <t>Spruce Creek (tributary of Yukon)</t>
  </si>
  <si>
    <t>1957</t>
  </si>
  <si>
    <t>ADFG Ground Surveys</t>
  </si>
  <si>
    <t>Squaw Creek</t>
  </si>
  <si>
    <t>334-40-11000-2599</t>
  </si>
  <si>
    <t>Stink Creek</t>
  </si>
  <si>
    <t>334-35-11000-2025</t>
  </si>
  <si>
    <t>Jul 17-Jul 22</t>
  </si>
  <si>
    <t>1976, 2012, 2014-2015</t>
  </si>
  <si>
    <t>Larson et al. 2017; ADFG Aerial Survey; AWC</t>
  </si>
  <si>
    <t>Stuyahok River</t>
  </si>
  <si>
    <t>334-30-11000-2651-3251</t>
  </si>
  <si>
    <t>Jul 25-Jul 30</t>
  </si>
  <si>
    <t>1971, 1975, 1985, 2003, 2012, 2015, 2018</t>
  </si>
  <si>
    <t>Sushana River</t>
  </si>
  <si>
    <t>334-40-11000-2490-3140-4065-5079</t>
  </si>
  <si>
    <t>Sep 18-Nov 28</t>
  </si>
  <si>
    <t>1972-2000, 2002-2010, 2013, 2015-2016, 2018-2022</t>
  </si>
  <si>
    <t>ADFG and TCC Aerial and Ground Surveys; AWC</t>
  </si>
  <si>
    <t>Swede Johnson Creek</t>
  </si>
  <si>
    <t>1966-1969</t>
  </si>
  <si>
    <t>Hancock and Marshall 1984; DFO Aerial Surveys</t>
  </si>
  <si>
    <t>Swift River</t>
  </si>
  <si>
    <t>334-30-11000-2701-3211</t>
  </si>
  <si>
    <t>Jul 14-Aug 4</t>
  </si>
  <si>
    <t>1975-1976, 1978-1981, 1985, 1987-1988, 1990, 2008-2009, 2012-2015, 2017-2020, 2022-2023</t>
  </si>
  <si>
    <t>Tanana River</t>
  </si>
  <si>
    <t>334-40-11000-2490</t>
  </si>
  <si>
    <t>Jun 26-Dec 1</t>
  </si>
  <si>
    <t>1972-2016, 2018, 2020-2024</t>
  </si>
  <si>
    <t>JTC 2025; Borba et al. 2017; ADFG, BSFA, and TCC Aerial Surveys; AWC</t>
  </si>
  <si>
    <t>Teedraanjik (Salmon Fork of Draanjik) River</t>
  </si>
  <si>
    <t>334-45-11000-2001-3050-4040-5301</t>
  </si>
  <si>
    <t>Jul 30-Oct 13</t>
  </si>
  <si>
    <t>1974-1976, 1980, 1985, 1999, 2008</t>
  </si>
  <si>
    <t>Rost 1986; Flannery et al. 2007; ADFG, BLM, CAS, and USFWS Aerial Surveys; AWC</t>
  </si>
  <si>
    <t>Teedriinjik (Chandalar) River</t>
  </si>
  <si>
    <t>334-40-11000-2925</t>
  </si>
  <si>
    <t>Aug 6-Oct 8</t>
  </si>
  <si>
    <t>1974-1977, 1980-1982, 1984-1986, 1988-1990, 1993, 2009</t>
  </si>
  <si>
    <t>Teklanika River</t>
  </si>
  <si>
    <t>334-40-11000-2490-3200-4028</t>
  </si>
  <si>
    <t>Jul 30-Oct 4</t>
  </si>
  <si>
    <t>1993, 1997</t>
  </si>
  <si>
    <t>Teklanika River Springs (recently became mainstem)</t>
  </si>
  <si>
    <t>334-40-11000-2490-3200-4028-5201-6101</t>
  </si>
  <si>
    <t>Teslin River</t>
  </si>
  <si>
    <t>Oct 4-Nov 10</t>
  </si>
  <si>
    <t>1960-1962, 1982, 1985-1986, 1989-2000, 2003, 2006</t>
  </si>
  <si>
    <t>Teslin</t>
  </si>
  <si>
    <t>Sweitzer 1974; Milligan et al. 1984; WMEC 1997; Cox 1999; Tobler 2003; Flannery et al. 2007; JTC 2025; DFO Aerial Surveys; FISS</t>
  </si>
  <si>
    <t>Tetthajik</t>
  </si>
  <si>
    <t>334-45-11000-2001-3050-4040-5301-6081</t>
  </si>
  <si>
    <t>1985, 1999</t>
  </si>
  <si>
    <t>Rost 1986; CAS and USFWS Aerial Surveys</t>
  </si>
  <si>
    <t>Thane Creek</t>
  </si>
  <si>
    <t>Duncan 2000</t>
  </si>
  <si>
    <t>Thompson Creek</t>
  </si>
  <si>
    <t>334-30-11000-2851</t>
  </si>
  <si>
    <t>Aug 1</t>
  </si>
  <si>
    <t>Titna River</t>
  </si>
  <si>
    <t>334-40-11000-2300-3203</t>
  </si>
  <si>
    <t>Aug 21-Aug 24</t>
  </si>
  <si>
    <t>1987</t>
  </si>
  <si>
    <t>USFWS Boat Surveys; AWC</t>
  </si>
  <si>
    <t>Toklat River</t>
  </si>
  <si>
    <t>334-40-11000-2490-3140-4065</t>
  </si>
  <si>
    <t>Aug 14-Nov 28</t>
  </si>
  <si>
    <t>1972-2010, 2013, 2015-2016, 2018-2024</t>
  </si>
  <si>
    <t>Barton 1997, 1998; Holder and Fair 2002; Flannery et al. 2010; JTC 2025; ADFG, CAS, and TCC Aerial Surveys; ADFG Genetics Database; AWC</t>
  </si>
  <si>
    <t>Tolstoi Creek</t>
  </si>
  <si>
    <t>334-30-11000-2532-3600-4021</t>
  </si>
  <si>
    <t>1975, 1977, 1997</t>
  </si>
  <si>
    <t>Tozitna River</t>
  </si>
  <si>
    <t>334-40-11000-2445</t>
  </si>
  <si>
    <t>Jun 22-Sep 29</t>
  </si>
  <si>
    <t>1974, 1985-1986, 1988, 1990-1993, 1995-1998, 2000-2009, 2011-2012, 2014-2015</t>
  </si>
  <si>
    <t>Trasky 1976; Flannery et al. 2010; Larson et al. 2017; JTC 2025; ADFG and BLM Aerial Surveys; AWC</t>
  </si>
  <si>
    <t>Turnaround Creek</t>
  </si>
  <si>
    <t>334-40-11000-2255-3140</t>
  </si>
  <si>
    <t>1975-1976, 1978-1979, 1985</t>
  </si>
  <si>
    <t>Ukawutni Creek</t>
  </si>
  <si>
    <t>334-40-11000-2289</t>
  </si>
  <si>
    <t>2014-2015</t>
  </si>
  <si>
    <t>Unnamed trib of Yukon R near Tuckers Slough</t>
  </si>
  <si>
    <t>334-20-11000-2301-3007</t>
  </si>
  <si>
    <t>Unnamed trib of Yukon R. across from Bering Cr.</t>
  </si>
  <si>
    <t>334-40-11000-2311</t>
  </si>
  <si>
    <t>Jul 12-Jul 30</t>
  </si>
  <si>
    <t>Unnamed tributary (Alatna R.)</t>
  </si>
  <si>
    <t>334-40-11000-2125-3661-4095-5051</t>
  </si>
  <si>
    <t>Jul 23-Jul 30</t>
  </si>
  <si>
    <t>2012, 2018</t>
  </si>
  <si>
    <t>Lemke et al. 2013; AWC</t>
  </si>
  <si>
    <t>Wheeler Creek</t>
  </si>
  <si>
    <t>334-40-11000-2125-3225-4025</t>
  </si>
  <si>
    <t>Jul 13-Aug 6</t>
  </si>
  <si>
    <t>1975-1978, 1980, 1982-1983, 1987-1988, 1991-1995, 1997, 2009-2012, 2015, 2018-2020</t>
  </si>
  <si>
    <t>White River</t>
  </si>
  <si>
    <t>Sep 12-Oct 21</t>
  </si>
  <si>
    <t>1982, 1985, 1992</t>
  </si>
  <si>
    <t>Milligan et al. 1984; DFO Aerial Surveys</t>
  </si>
  <si>
    <t>Wolf Creek</t>
  </si>
  <si>
    <t>334-40-11000-2255-3300</t>
  </si>
  <si>
    <t>Jul 16-Jul 23</t>
  </si>
  <si>
    <t>ADFG and BLM Aerial Surveys</t>
  </si>
  <si>
    <t>Wood Creek</t>
  </si>
  <si>
    <t>334-40-11000-2490-3200-4011-5117-6115-7010-8011</t>
  </si>
  <si>
    <t>Sep 19-Oct 30</t>
  </si>
  <si>
    <t>1982-1984, 2007, 2015</t>
  </si>
  <si>
    <t>Larson et al. 2017; ADFG Aerial Surveys</t>
  </si>
  <si>
    <t>Woodyard Creek</t>
  </si>
  <si>
    <t>334-40-11000-2125-3025</t>
  </si>
  <si>
    <t>Jul 25-Sep 4</t>
  </si>
  <si>
    <t>Yellow River</t>
  </si>
  <si>
    <t>334-30-11000-2701-3120</t>
  </si>
  <si>
    <t>1972-1979, 1985, 1987-1988, 2014</t>
  </si>
  <si>
    <t>Yuki River</t>
  </si>
  <si>
    <t>334-40-11000-2230</t>
  </si>
  <si>
    <t>Jul 23-Jul 24</t>
  </si>
  <si>
    <t>2011-2012, 2014</t>
  </si>
  <si>
    <t>Yukon River</t>
  </si>
  <si>
    <t>Sep 14-Oct 29</t>
  </si>
  <si>
    <t>1964, 1973, 1975, 1982-1998, 2000-2006, 2020-2024</t>
  </si>
  <si>
    <t>Walker 1974, 1976; Milligan et al. 1984; Cox 1999; Flannery et al. 2010; DFO Aerial and Ground Surveys; Selkirk FN Ground 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</si>
</sst>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d\-mmm;@"/>
  </numFmts>
  <fonts count="4" x14ac:knownFonts="1">
    <font>
      <sz val="11"/>
      <color theme="1"/>
      <name val="Calibri"/>
      <family val="2"/>
      <scheme val="minor"/>
    </font>
    <font>
      <b/>
      <sz val="10"/>
      <name val="Times"/>
      <family val="1"/>
    </font>
    <font>
      <sz val="10"/>
      <name val="Times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nsbury, Shane R" id="{23D2D72B-9559-4955-9005-E2D7C5E709E0}" userId="S::shane_ransbury@fws.gov::c0e06286-9464-4add-a09a-28f9fa01d7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4" dT="2025-05-28T00:02:05.12" personId="{23D2D72B-9559-4955-9005-E2D7C5E709E0}" id="{4F442216-26DC-4D09-9EAD-44D8E921D1D7}">
    <text>There was a survey on November 28, 1972 that saw 150 chum, but they were all dead.</text>
  </threadedComment>
  <threadedComment ref="J178" dT="2025-05-27T23:21:00.13" personId="{23D2D72B-9559-4955-9005-E2D7C5E709E0}" id="{870866CC-1C9F-42A0-9DA1-B2BB8130E080}">
    <text>Raw aerial number without stream life curve (SLC) expansion.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abSelected="1" topLeftCell="A166" workbookViewId="0">
      <selection activeCell="A194" sqref="A194"/>
    </sheetView>
  </sheetViews>
  <sheetFormatPr defaultRowHeight="14.5" x14ac:dyDescent="0.35"/>
  <cols>
    <col min="1" max="1" width="55.26953125" bestFit="1" customWidth="1"/>
    <col min="2" max="2" width="11.81640625" bestFit="1" customWidth="1"/>
    <col min="3" max="3" width="11.453125" bestFit="1" customWidth="1"/>
    <col min="4" max="4" width="10.54296875" bestFit="1" customWidth="1"/>
    <col min="5" max="5" width="11" bestFit="1" customWidth="1"/>
    <col min="6" max="6" width="10.453125" bestFit="1" customWidth="1"/>
    <col min="7" max="7" width="39.7265625" bestFit="1" customWidth="1"/>
    <col min="8" max="8" width="12.7265625" bestFit="1" customWidth="1"/>
    <col min="9" max="9" width="90.26953125" bestFit="1" customWidth="1"/>
    <col min="10" max="10" width="18.54296875" bestFit="1" customWidth="1"/>
    <col min="11" max="11" width="17.453125" bestFit="1" customWidth="1"/>
    <col min="12" max="12" width="24" bestFit="1" customWidth="1"/>
    <col min="13" max="13" width="12.7265625" bestFit="1" customWidth="1"/>
    <col min="14" max="14" width="16.1796875" bestFit="1" customWidth="1"/>
    <col min="15" max="15" width="17.54296875" bestFit="1" customWidth="1"/>
    <col min="16" max="16" width="16.26953125" bestFit="1" customWidth="1"/>
    <col min="17" max="17" width="20.7265625" bestFit="1" customWidth="1"/>
    <col min="18" max="18" width="114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" t="s">
        <v>18</v>
      </c>
      <c r="B2" s="3" t="s">
        <v>19</v>
      </c>
      <c r="C2" s="3" t="s">
        <v>20</v>
      </c>
      <c r="D2" s="3" t="s">
        <v>21</v>
      </c>
      <c r="E2" s="3">
        <v>-153.17981223999999</v>
      </c>
      <c r="F2" s="3">
        <v>66.703472790000006</v>
      </c>
      <c r="G2" s="3" t="s">
        <v>22</v>
      </c>
      <c r="H2" s="3" t="s">
        <v>23</v>
      </c>
      <c r="I2" s="3" t="s">
        <v>24</v>
      </c>
      <c r="J2" s="4">
        <v>975</v>
      </c>
      <c r="K2" s="5">
        <v>25415</v>
      </c>
      <c r="L2" s="5"/>
      <c r="M2" s="6">
        <f>K2-DATE(YEAR(K2),1,0)</f>
        <v>212</v>
      </c>
      <c r="N2" s="6"/>
      <c r="O2" s="3" t="s">
        <v>25</v>
      </c>
      <c r="P2" s="3" t="s">
        <v>26</v>
      </c>
      <c r="Q2" s="7" t="s">
        <v>27</v>
      </c>
      <c r="R2" s="3" t="s">
        <v>28</v>
      </c>
    </row>
    <row r="3" spans="1:18" x14ac:dyDescent="0.35">
      <c r="A3" s="3" t="s">
        <v>29</v>
      </c>
      <c r="B3" s="3" t="s">
        <v>19</v>
      </c>
      <c r="C3" s="3" t="s">
        <v>20</v>
      </c>
      <c r="D3" s="3" t="s">
        <v>21</v>
      </c>
      <c r="E3" s="3">
        <v>-152.8669817</v>
      </c>
      <c r="F3" s="3">
        <v>67.109770850000004</v>
      </c>
      <c r="G3" s="3" t="s">
        <v>30</v>
      </c>
      <c r="H3" s="3" t="s">
        <v>31</v>
      </c>
      <c r="I3" s="3" t="s">
        <v>32</v>
      </c>
      <c r="J3" s="4">
        <v>4611</v>
      </c>
      <c r="K3" s="5">
        <v>34906</v>
      </c>
      <c r="L3" s="5"/>
      <c r="M3" s="6">
        <f>K3-DATE(YEAR(K3),1,0)</f>
        <v>207</v>
      </c>
      <c r="N3" s="6"/>
      <c r="O3" s="3" t="s">
        <v>25</v>
      </c>
      <c r="P3" s="3" t="s">
        <v>26</v>
      </c>
      <c r="Q3" s="7" t="s">
        <v>27</v>
      </c>
      <c r="R3" s="3" t="s">
        <v>33</v>
      </c>
    </row>
    <row r="4" spans="1:18" x14ac:dyDescent="0.35">
      <c r="A4" s="3" t="s">
        <v>34</v>
      </c>
      <c r="B4" s="3" t="s">
        <v>19</v>
      </c>
      <c r="C4" s="3" t="s">
        <v>20</v>
      </c>
      <c r="D4" s="3" t="s">
        <v>21</v>
      </c>
      <c r="E4" s="3">
        <v>-155.65924623000001</v>
      </c>
      <c r="F4" s="3">
        <v>66.242639699999998</v>
      </c>
      <c r="G4" s="3" t="s">
        <v>35</v>
      </c>
      <c r="H4" s="3" t="s">
        <v>36</v>
      </c>
      <c r="I4" s="3" t="s">
        <v>37</v>
      </c>
      <c r="J4" s="4">
        <v>3184</v>
      </c>
      <c r="K4" s="5">
        <v>34896</v>
      </c>
      <c r="L4" s="5"/>
      <c r="M4" s="6">
        <f t="shared" ref="M4:M21" si="0">K4-DATE(YEAR(K4),1,0)</f>
        <v>197</v>
      </c>
      <c r="N4" s="6"/>
      <c r="O4" s="3" t="s">
        <v>25</v>
      </c>
      <c r="P4" s="3" t="s">
        <v>26</v>
      </c>
      <c r="Q4" s="7" t="s">
        <v>38</v>
      </c>
      <c r="R4" s="3" t="s">
        <v>39</v>
      </c>
    </row>
    <row r="5" spans="1:18" x14ac:dyDescent="0.35">
      <c r="A5" s="3" t="s">
        <v>40</v>
      </c>
      <c r="B5" s="3" t="s">
        <v>19</v>
      </c>
      <c r="C5" s="3" t="s">
        <v>20</v>
      </c>
      <c r="D5" s="3" t="s">
        <v>41</v>
      </c>
      <c r="E5" s="3">
        <v>-162.20431164999999</v>
      </c>
      <c r="F5" s="3">
        <v>62.541329330000003</v>
      </c>
      <c r="G5" s="3" t="s">
        <v>42</v>
      </c>
      <c r="H5" s="3" t="s">
        <v>43</v>
      </c>
      <c r="I5" s="3" t="s">
        <v>44</v>
      </c>
      <c r="J5" s="4">
        <v>223485</v>
      </c>
      <c r="K5" s="5">
        <v>27597</v>
      </c>
      <c r="L5" s="8">
        <v>189</v>
      </c>
      <c r="M5" s="6">
        <f>K5-DATE(YEAR(K5),1,0)</f>
        <v>203</v>
      </c>
      <c r="N5" s="6">
        <f>L5-DATE(YEAR(L5),1,0)</f>
        <v>189</v>
      </c>
      <c r="O5" s="3" t="s">
        <v>45</v>
      </c>
      <c r="P5" s="3" t="s">
        <v>46</v>
      </c>
      <c r="Q5" s="7" t="s">
        <v>47</v>
      </c>
      <c r="R5" s="3" t="s">
        <v>48</v>
      </c>
    </row>
    <row r="6" spans="1:18" x14ac:dyDescent="0.35">
      <c r="A6" s="3" t="s">
        <v>49</v>
      </c>
      <c r="B6" s="3" t="s">
        <v>19</v>
      </c>
      <c r="C6" s="3" t="s">
        <v>20</v>
      </c>
      <c r="D6" s="3" t="s">
        <v>41</v>
      </c>
      <c r="E6" s="3">
        <v>-162.81628233999999</v>
      </c>
      <c r="F6" s="3">
        <v>62.390471949999998</v>
      </c>
      <c r="G6" s="3" t="s">
        <v>50</v>
      </c>
      <c r="H6" s="3" t="s">
        <v>51</v>
      </c>
      <c r="I6" s="3" t="s">
        <v>52</v>
      </c>
      <c r="J6" s="4">
        <v>238565</v>
      </c>
      <c r="K6" s="5">
        <v>30876</v>
      </c>
      <c r="L6" s="5"/>
      <c r="M6" s="6">
        <f t="shared" si="0"/>
        <v>195</v>
      </c>
      <c r="N6" s="6"/>
      <c r="O6" s="3" t="s">
        <v>45</v>
      </c>
      <c r="P6" s="3" t="s">
        <v>26</v>
      </c>
      <c r="Q6" s="7" t="s">
        <v>38</v>
      </c>
      <c r="R6" s="3" t="s">
        <v>53</v>
      </c>
    </row>
    <row r="7" spans="1:18" x14ac:dyDescent="0.35">
      <c r="A7" s="3" t="s">
        <v>54</v>
      </c>
      <c r="B7" s="3" t="s">
        <v>19</v>
      </c>
      <c r="C7" s="3" t="s">
        <v>20</v>
      </c>
      <c r="D7" s="3" t="s">
        <v>41</v>
      </c>
      <c r="E7" s="3">
        <v>-160.64325829000001</v>
      </c>
      <c r="F7" s="3">
        <v>62.713057450000001</v>
      </c>
      <c r="G7" s="3" t="s">
        <v>55</v>
      </c>
      <c r="H7" s="3" t="s">
        <v>56</v>
      </c>
      <c r="I7" s="3" t="s">
        <v>57</v>
      </c>
      <c r="J7" s="4">
        <v>752025</v>
      </c>
      <c r="K7" s="5">
        <v>27598</v>
      </c>
      <c r="L7" s="8">
        <v>191</v>
      </c>
      <c r="M7" s="6">
        <f t="shared" si="0"/>
        <v>204</v>
      </c>
      <c r="N7" s="6">
        <f>L7-DATE(YEAR(L7),1,0)</f>
        <v>191</v>
      </c>
      <c r="O7" s="3" t="s">
        <v>45</v>
      </c>
      <c r="P7" s="3" t="s">
        <v>46</v>
      </c>
      <c r="Q7" s="7" t="s">
        <v>47</v>
      </c>
      <c r="R7" s="3" t="s">
        <v>58</v>
      </c>
    </row>
    <row r="8" spans="1:18" x14ac:dyDescent="0.35">
      <c r="A8" s="3" t="s">
        <v>59</v>
      </c>
      <c r="B8" s="3" t="s">
        <v>19</v>
      </c>
      <c r="C8" s="3" t="s">
        <v>20</v>
      </c>
      <c r="D8" s="3" t="s">
        <v>21</v>
      </c>
      <c r="E8" s="3">
        <v>-163.55211058</v>
      </c>
      <c r="F8" s="3">
        <v>62.25161971</v>
      </c>
      <c r="G8" s="3" t="s">
        <v>60</v>
      </c>
      <c r="H8" s="3" t="s">
        <v>61</v>
      </c>
      <c r="I8" s="3" t="s">
        <v>62</v>
      </c>
      <c r="J8" s="4">
        <f>1790+1650</f>
        <v>3440</v>
      </c>
      <c r="K8" s="5">
        <v>27602</v>
      </c>
      <c r="L8" s="5"/>
      <c r="M8" s="6">
        <f t="shared" si="0"/>
        <v>208</v>
      </c>
      <c r="N8" s="6"/>
      <c r="O8" s="3" t="s">
        <v>45</v>
      </c>
      <c r="P8" s="3" t="s">
        <v>26</v>
      </c>
      <c r="Q8" s="7" t="s">
        <v>38</v>
      </c>
      <c r="R8" s="3" t="s">
        <v>63</v>
      </c>
    </row>
    <row r="9" spans="1:18" x14ac:dyDescent="0.35">
      <c r="A9" s="3" t="s">
        <v>64</v>
      </c>
      <c r="B9" s="3" t="s">
        <v>19</v>
      </c>
      <c r="C9" s="3" t="s">
        <v>20</v>
      </c>
      <c r="D9" s="3" t="s">
        <v>21</v>
      </c>
      <c r="E9" s="3">
        <v>-158.76905266</v>
      </c>
      <c r="F9" s="3">
        <v>65.116735719999994</v>
      </c>
      <c r="G9" s="3" t="s">
        <v>65</v>
      </c>
      <c r="H9" s="3" t="s">
        <v>66</v>
      </c>
      <c r="I9" s="3" t="s">
        <v>67</v>
      </c>
      <c r="J9" s="4">
        <v>78</v>
      </c>
      <c r="K9" s="5">
        <v>35634</v>
      </c>
      <c r="L9" s="5"/>
      <c r="M9" s="6">
        <f t="shared" si="0"/>
        <v>204</v>
      </c>
      <c r="N9" s="6"/>
      <c r="O9" s="3" t="s">
        <v>25</v>
      </c>
      <c r="P9" s="3" t="s">
        <v>26</v>
      </c>
      <c r="Q9" s="7" t="s">
        <v>38</v>
      </c>
      <c r="R9" s="3" t="s">
        <v>68</v>
      </c>
    </row>
    <row r="10" spans="1:18" x14ac:dyDescent="0.35">
      <c r="A10" s="3" t="s">
        <v>69</v>
      </c>
      <c r="B10" s="3" t="s">
        <v>19</v>
      </c>
      <c r="C10" s="3" t="s">
        <v>20</v>
      </c>
      <c r="D10" s="3" t="s">
        <v>21</v>
      </c>
      <c r="E10" s="3">
        <v>-161.6821885</v>
      </c>
      <c r="F10" s="3">
        <v>62.510393450000002</v>
      </c>
      <c r="G10" s="3" t="s">
        <v>70</v>
      </c>
      <c r="H10" s="3" t="s">
        <v>71</v>
      </c>
      <c r="I10" s="3" t="s">
        <v>72</v>
      </c>
      <c r="J10" s="4">
        <v>3785</v>
      </c>
      <c r="K10" s="5">
        <v>43306</v>
      </c>
      <c r="L10" s="5"/>
      <c r="M10" s="6">
        <f t="shared" si="0"/>
        <v>206</v>
      </c>
      <c r="N10" s="6"/>
      <c r="O10" s="3" t="s">
        <v>45</v>
      </c>
      <c r="P10" s="3" t="s">
        <v>26</v>
      </c>
      <c r="Q10" s="7" t="s">
        <v>38</v>
      </c>
      <c r="R10" s="3" t="s">
        <v>73</v>
      </c>
    </row>
    <row r="11" spans="1:18" x14ac:dyDescent="0.35">
      <c r="A11" s="3" t="s">
        <v>74</v>
      </c>
      <c r="B11" s="3" t="s">
        <v>75</v>
      </c>
      <c r="C11" s="3" t="s">
        <v>20</v>
      </c>
      <c r="D11" s="3" t="s">
        <v>21</v>
      </c>
      <c r="E11" s="3">
        <v>-150.29355495999999</v>
      </c>
      <c r="F11" s="3">
        <v>65.050227989999996</v>
      </c>
      <c r="G11" s="3" t="s">
        <v>76</v>
      </c>
      <c r="H11" s="3" t="s">
        <v>77</v>
      </c>
      <c r="I11" s="3" t="s">
        <v>78</v>
      </c>
      <c r="J11" s="4">
        <v>42</v>
      </c>
      <c r="K11" s="5">
        <v>27256</v>
      </c>
      <c r="L11" s="5"/>
      <c r="M11" s="6">
        <f t="shared" si="0"/>
        <v>227</v>
      </c>
      <c r="N11" s="6"/>
      <c r="O11" s="3" t="s">
        <v>25</v>
      </c>
      <c r="P11" s="3" t="s">
        <v>26</v>
      </c>
      <c r="Q11" s="7" t="s">
        <v>79</v>
      </c>
      <c r="R11" s="3" t="s">
        <v>33</v>
      </c>
    </row>
    <row r="12" spans="1:18" x14ac:dyDescent="0.35">
      <c r="A12" s="3" t="s">
        <v>80</v>
      </c>
      <c r="B12" s="3" t="s">
        <v>81</v>
      </c>
      <c r="C12" s="3" t="s">
        <v>20</v>
      </c>
      <c r="D12" s="3" t="s">
        <v>21</v>
      </c>
      <c r="E12" s="3">
        <v>-149.97700348999999</v>
      </c>
      <c r="F12" s="3">
        <v>64.208793760000006</v>
      </c>
      <c r="G12" s="3" t="s">
        <v>82</v>
      </c>
      <c r="H12" s="3" t="s">
        <v>83</v>
      </c>
      <c r="I12" s="3" t="s">
        <v>84</v>
      </c>
      <c r="J12" s="4">
        <v>91</v>
      </c>
      <c r="K12" s="5">
        <v>44859</v>
      </c>
      <c r="L12" s="5"/>
      <c r="M12" s="6">
        <f t="shared" si="0"/>
        <v>298</v>
      </c>
      <c r="N12" s="6"/>
      <c r="O12" s="3" t="s">
        <v>25</v>
      </c>
      <c r="P12" s="3" t="s">
        <v>26</v>
      </c>
      <c r="Q12" s="7" t="s">
        <v>85</v>
      </c>
      <c r="R12" s="3" t="s">
        <v>86</v>
      </c>
    </row>
    <row r="13" spans="1:18" x14ac:dyDescent="0.35">
      <c r="A13" s="3" t="s">
        <v>87</v>
      </c>
      <c r="B13" s="3" t="s">
        <v>19</v>
      </c>
      <c r="C13" s="3" t="s">
        <v>20</v>
      </c>
      <c r="D13" s="3" t="s">
        <v>21</v>
      </c>
      <c r="E13" s="3">
        <v>-154.53220791999999</v>
      </c>
      <c r="F13" s="3">
        <v>66.015132840000007</v>
      </c>
      <c r="G13" s="3" t="s">
        <v>88</v>
      </c>
      <c r="H13" s="3" t="s">
        <v>89</v>
      </c>
      <c r="I13" s="3" t="s">
        <v>90</v>
      </c>
      <c r="J13" s="4">
        <v>372</v>
      </c>
      <c r="K13" s="5">
        <v>27600</v>
      </c>
      <c r="L13" s="5"/>
      <c r="M13" s="6">
        <f t="shared" si="0"/>
        <v>206</v>
      </c>
      <c r="N13" s="6"/>
      <c r="O13" s="3" t="s">
        <v>25</v>
      </c>
      <c r="P13" s="3" t="s">
        <v>26</v>
      </c>
      <c r="Q13" s="7" t="s">
        <v>38</v>
      </c>
      <c r="R13" s="3" t="s">
        <v>33</v>
      </c>
    </row>
    <row r="14" spans="1:18" x14ac:dyDescent="0.35">
      <c r="A14" s="3" t="s">
        <v>91</v>
      </c>
      <c r="B14" s="3" t="s">
        <v>75</v>
      </c>
      <c r="C14" s="3" t="s">
        <v>20</v>
      </c>
      <c r="D14" s="3" t="s">
        <v>21</v>
      </c>
      <c r="E14" s="3">
        <v>-151.07204673999999</v>
      </c>
      <c r="F14" s="3">
        <v>65.402597959999994</v>
      </c>
      <c r="G14" s="3" t="s">
        <v>92</v>
      </c>
      <c r="H14" s="3" t="s">
        <v>93</v>
      </c>
      <c r="I14" s="3" t="s">
        <v>94</v>
      </c>
      <c r="J14" s="4">
        <v>67</v>
      </c>
      <c r="K14" s="5">
        <v>32345</v>
      </c>
      <c r="L14" s="5"/>
      <c r="M14" s="6">
        <f t="shared" si="0"/>
        <v>203</v>
      </c>
      <c r="N14" s="6"/>
      <c r="O14" s="3" t="s">
        <v>25</v>
      </c>
      <c r="P14" s="3" t="s">
        <v>26</v>
      </c>
      <c r="Q14" s="7" t="s">
        <v>27</v>
      </c>
      <c r="R14" s="3" t="s">
        <v>95</v>
      </c>
    </row>
    <row r="15" spans="1:18" x14ac:dyDescent="0.35">
      <c r="A15" s="3" t="s">
        <v>96</v>
      </c>
      <c r="B15" s="3" t="s">
        <v>19</v>
      </c>
      <c r="C15" s="3" t="s">
        <v>20</v>
      </c>
      <c r="D15" s="3" t="s">
        <v>21</v>
      </c>
      <c r="E15" s="3">
        <v>-159.45365172000001</v>
      </c>
      <c r="F15" s="3">
        <v>63.655070219999999</v>
      </c>
      <c r="G15" s="3" t="s">
        <v>97</v>
      </c>
      <c r="H15" s="3" t="s">
        <v>98</v>
      </c>
      <c r="I15" s="3" t="s">
        <v>99</v>
      </c>
      <c r="J15" s="4">
        <v>4267</v>
      </c>
      <c r="K15" s="5">
        <v>27958</v>
      </c>
      <c r="L15" s="5"/>
      <c r="M15" s="6">
        <f t="shared" si="0"/>
        <v>199</v>
      </c>
      <c r="N15" s="6"/>
      <c r="O15" s="3" t="s">
        <v>45</v>
      </c>
      <c r="P15" s="3" t="s">
        <v>26</v>
      </c>
      <c r="Q15" s="7" t="s">
        <v>38</v>
      </c>
      <c r="R15" s="3" t="s">
        <v>33</v>
      </c>
    </row>
    <row r="16" spans="1:18" x14ac:dyDescent="0.35">
      <c r="A16" s="3" t="s">
        <v>100</v>
      </c>
      <c r="B16" s="3" t="s">
        <v>75</v>
      </c>
      <c r="C16" s="3" t="s">
        <v>20</v>
      </c>
      <c r="D16" s="3" t="s">
        <v>21</v>
      </c>
      <c r="E16" s="3">
        <v>-147.45987263999999</v>
      </c>
      <c r="F16" s="3">
        <v>64.685263489999997</v>
      </c>
      <c r="G16" s="3" t="s">
        <v>101</v>
      </c>
      <c r="H16" s="3" t="s">
        <v>102</v>
      </c>
      <c r="I16" s="3" t="s">
        <v>103</v>
      </c>
      <c r="J16" s="4">
        <v>5</v>
      </c>
      <c r="K16" s="5">
        <v>41504</v>
      </c>
      <c r="L16" s="5"/>
      <c r="M16" s="6">
        <f t="shared" si="0"/>
        <v>230</v>
      </c>
      <c r="N16" s="6"/>
      <c r="O16" s="3" t="s">
        <v>25</v>
      </c>
      <c r="P16" s="3" t="s">
        <v>26</v>
      </c>
      <c r="Q16" s="7" t="s">
        <v>79</v>
      </c>
      <c r="R16" s="3" t="s">
        <v>104</v>
      </c>
    </row>
    <row r="17" spans="1:18" x14ac:dyDescent="0.35">
      <c r="A17" s="3" t="s">
        <v>105</v>
      </c>
      <c r="B17" s="3" t="s">
        <v>19</v>
      </c>
      <c r="C17" s="3" t="s">
        <v>20</v>
      </c>
      <c r="D17" s="3" t="s">
        <v>21</v>
      </c>
      <c r="E17" s="3">
        <v>-155.62050751999999</v>
      </c>
      <c r="F17" s="3">
        <v>66.173237319999998</v>
      </c>
      <c r="G17" s="3" t="s">
        <v>106</v>
      </c>
      <c r="H17" s="3" t="s">
        <v>107</v>
      </c>
      <c r="I17" s="3" t="s">
        <v>108</v>
      </c>
      <c r="J17" s="4">
        <v>184</v>
      </c>
      <c r="K17" s="5">
        <v>30881</v>
      </c>
      <c r="L17" s="5"/>
      <c r="M17" s="6">
        <f t="shared" si="0"/>
        <v>200</v>
      </c>
      <c r="N17" s="6"/>
      <c r="O17" s="3" t="s">
        <v>25</v>
      </c>
      <c r="P17" s="3" t="s">
        <v>26</v>
      </c>
      <c r="Q17" s="7" t="s">
        <v>38</v>
      </c>
      <c r="R17" s="3" t="s">
        <v>39</v>
      </c>
    </row>
    <row r="18" spans="1:18" x14ac:dyDescent="0.35">
      <c r="A18" s="3" t="s">
        <v>109</v>
      </c>
      <c r="B18" s="3" t="s">
        <v>81</v>
      </c>
      <c r="C18" s="3" t="s">
        <v>20</v>
      </c>
      <c r="D18" s="3" t="s">
        <v>21</v>
      </c>
      <c r="E18" s="3">
        <v>-150.91342108000001</v>
      </c>
      <c r="F18" s="3">
        <v>63.81377449</v>
      </c>
      <c r="G18" s="3" t="s">
        <v>110</v>
      </c>
      <c r="H18" s="3" t="s">
        <v>111</v>
      </c>
      <c r="I18" s="3" t="s">
        <v>112</v>
      </c>
      <c r="J18" s="4">
        <v>2996</v>
      </c>
      <c r="K18" s="5">
        <v>27322</v>
      </c>
      <c r="L18" s="5"/>
      <c r="M18" s="6">
        <f t="shared" si="0"/>
        <v>293</v>
      </c>
      <c r="N18" s="6"/>
      <c r="O18" s="3" t="s">
        <v>25</v>
      </c>
      <c r="P18" s="3" t="s">
        <v>26</v>
      </c>
      <c r="Q18" s="7" t="s">
        <v>85</v>
      </c>
      <c r="R18" s="3" t="s">
        <v>113</v>
      </c>
    </row>
    <row r="19" spans="1:18" x14ac:dyDescent="0.35">
      <c r="A19" s="3" t="s">
        <v>114</v>
      </c>
      <c r="B19" s="3" t="s">
        <v>81</v>
      </c>
      <c r="C19" s="3" t="s">
        <v>20</v>
      </c>
      <c r="D19" s="3" t="s">
        <v>21</v>
      </c>
      <c r="E19" s="3">
        <v>-147.61374529</v>
      </c>
      <c r="F19" s="3">
        <v>65.629216639999996</v>
      </c>
      <c r="G19" s="3" t="s">
        <v>115</v>
      </c>
      <c r="H19" s="3" t="s">
        <v>116</v>
      </c>
      <c r="I19" s="3" t="s">
        <v>117</v>
      </c>
      <c r="J19" s="4">
        <v>2</v>
      </c>
      <c r="K19" s="5">
        <v>33813</v>
      </c>
      <c r="L19" s="8">
        <v>212</v>
      </c>
      <c r="M19" s="6">
        <f t="shared" si="0"/>
        <v>210</v>
      </c>
      <c r="N19" s="6">
        <f>L19-DATE(YEAR(L19),1,0)</f>
        <v>212</v>
      </c>
      <c r="O19" s="3" t="s">
        <v>25</v>
      </c>
      <c r="P19" s="3" t="s">
        <v>26</v>
      </c>
      <c r="Q19" s="7" t="s">
        <v>118</v>
      </c>
      <c r="R19" s="3" t="s">
        <v>119</v>
      </c>
    </row>
    <row r="20" spans="1:18" x14ac:dyDescent="0.35">
      <c r="A20" s="3" t="s">
        <v>120</v>
      </c>
      <c r="B20" s="3" t="s">
        <v>19</v>
      </c>
      <c r="C20" s="3" t="s">
        <v>20</v>
      </c>
      <c r="D20" s="3" t="s">
        <v>21</v>
      </c>
      <c r="E20" s="3">
        <v>-160.97939493000001</v>
      </c>
      <c r="F20" s="3">
        <v>62.954429189999999</v>
      </c>
      <c r="G20" s="3" t="s">
        <v>121</v>
      </c>
      <c r="H20" s="3" t="s">
        <v>122</v>
      </c>
      <c r="I20" s="3" t="s">
        <v>123</v>
      </c>
      <c r="J20" s="4">
        <v>42750</v>
      </c>
      <c r="K20" s="5">
        <v>29426</v>
      </c>
      <c r="L20" s="5"/>
      <c r="M20" s="6">
        <f t="shared" si="0"/>
        <v>206</v>
      </c>
      <c r="N20" s="6"/>
      <c r="O20" s="3" t="s">
        <v>45</v>
      </c>
      <c r="P20" s="3" t="s">
        <v>46</v>
      </c>
      <c r="Q20" s="7" t="s">
        <v>47</v>
      </c>
      <c r="R20" s="3" t="s">
        <v>33</v>
      </c>
    </row>
    <row r="21" spans="1:18" x14ac:dyDescent="0.35">
      <c r="A21" s="3" t="s">
        <v>124</v>
      </c>
      <c r="B21" s="3" t="s">
        <v>19</v>
      </c>
      <c r="C21" s="3" t="s">
        <v>20</v>
      </c>
      <c r="D21" s="3" t="s">
        <v>21</v>
      </c>
      <c r="E21" s="3">
        <v>-152.69983084</v>
      </c>
      <c r="F21" s="3">
        <v>67.103488080000005</v>
      </c>
      <c r="G21" s="3"/>
      <c r="H21" s="3" t="s">
        <v>125</v>
      </c>
      <c r="I21" s="3" t="s">
        <v>126</v>
      </c>
      <c r="J21" s="4">
        <v>100</v>
      </c>
      <c r="K21" s="5">
        <v>25415</v>
      </c>
      <c r="L21" s="5"/>
      <c r="M21" s="6">
        <f t="shared" si="0"/>
        <v>212</v>
      </c>
      <c r="N21" s="6"/>
      <c r="O21" s="3" t="s">
        <v>25</v>
      </c>
      <c r="P21" s="3" t="s">
        <v>26</v>
      </c>
      <c r="Q21" s="7" t="s">
        <v>27</v>
      </c>
      <c r="R21" s="3" t="s">
        <v>68</v>
      </c>
    </row>
    <row r="22" spans="1:18" x14ac:dyDescent="0.35">
      <c r="A22" s="3" t="s">
        <v>127</v>
      </c>
      <c r="B22" s="3" t="s">
        <v>81</v>
      </c>
      <c r="C22" s="3" t="s">
        <v>20</v>
      </c>
      <c r="D22" s="3" t="s">
        <v>21</v>
      </c>
      <c r="E22" s="3">
        <v>-136.78303335999999</v>
      </c>
      <c r="F22" s="3">
        <v>67.724799950000005</v>
      </c>
      <c r="G22" s="3"/>
      <c r="H22" s="3"/>
      <c r="I22" s="3"/>
      <c r="J22" s="4"/>
      <c r="K22" s="9"/>
      <c r="L22" s="5"/>
      <c r="M22" s="6"/>
      <c r="N22" s="6"/>
      <c r="O22" s="3" t="s">
        <v>128</v>
      </c>
      <c r="P22" s="3" t="s">
        <v>26</v>
      </c>
      <c r="Q22" s="7" t="s">
        <v>129</v>
      </c>
      <c r="R22" s="3" t="s">
        <v>130</v>
      </c>
    </row>
    <row r="23" spans="1:18" x14ac:dyDescent="0.35">
      <c r="A23" s="3" t="s">
        <v>131</v>
      </c>
      <c r="B23" s="3" t="s">
        <v>19</v>
      </c>
      <c r="C23" s="3" t="s">
        <v>20</v>
      </c>
      <c r="D23" s="3" t="s">
        <v>21</v>
      </c>
      <c r="E23" s="3">
        <v>-154.67541885</v>
      </c>
      <c r="F23" s="3">
        <v>65.259918990000003</v>
      </c>
      <c r="G23" s="3" t="s">
        <v>132</v>
      </c>
      <c r="H23" s="3" t="s">
        <v>133</v>
      </c>
      <c r="I23" s="3" t="s">
        <v>134</v>
      </c>
      <c r="J23" s="4">
        <v>4</v>
      </c>
      <c r="K23" s="5">
        <v>29037</v>
      </c>
      <c r="L23" s="5"/>
      <c r="M23" s="6">
        <f>K23-DATE(YEAR(K23),1,0)</f>
        <v>182</v>
      </c>
      <c r="N23" s="6"/>
      <c r="O23" s="3" t="s">
        <v>25</v>
      </c>
      <c r="P23" s="3" t="s">
        <v>26</v>
      </c>
      <c r="Q23" s="7" t="s">
        <v>38</v>
      </c>
      <c r="R23" s="3" t="s">
        <v>135</v>
      </c>
    </row>
    <row r="24" spans="1:18" x14ac:dyDescent="0.35">
      <c r="A24" s="3" t="s">
        <v>136</v>
      </c>
      <c r="B24" s="3" t="s">
        <v>81</v>
      </c>
      <c r="C24" s="3" t="s">
        <v>20</v>
      </c>
      <c r="D24" s="3" t="s">
        <v>21</v>
      </c>
      <c r="E24" s="3">
        <v>-137.03039483000001</v>
      </c>
      <c r="F24" s="3">
        <v>62.576976930000001</v>
      </c>
      <c r="G24" s="3"/>
      <c r="H24" s="3" t="s">
        <v>137</v>
      </c>
      <c r="I24" s="3" t="s">
        <v>138</v>
      </c>
      <c r="J24" s="4"/>
      <c r="K24" s="9"/>
      <c r="L24" s="5"/>
      <c r="M24" s="6"/>
      <c r="N24" s="6"/>
      <c r="O24" s="3" t="s">
        <v>128</v>
      </c>
      <c r="P24" s="3" t="s">
        <v>46</v>
      </c>
      <c r="Q24" s="7" t="s">
        <v>139</v>
      </c>
      <c r="R24" s="3" t="s">
        <v>140</v>
      </c>
    </row>
    <row r="25" spans="1:18" x14ac:dyDescent="0.35">
      <c r="A25" s="3" t="s">
        <v>141</v>
      </c>
      <c r="B25" s="3" t="s">
        <v>81</v>
      </c>
      <c r="C25" s="3" t="s">
        <v>20</v>
      </c>
      <c r="D25" s="3" t="s">
        <v>21</v>
      </c>
      <c r="E25" s="3">
        <v>-150.09335386999999</v>
      </c>
      <c r="F25" s="3">
        <v>65.887667590000007</v>
      </c>
      <c r="G25" s="3" t="s">
        <v>142</v>
      </c>
      <c r="H25" s="3" t="s">
        <v>143</v>
      </c>
      <c r="I25" s="3" t="s">
        <v>144</v>
      </c>
      <c r="J25" s="4">
        <f>542+121</f>
        <v>663</v>
      </c>
      <c r="K25" s="5">
        <v>37107</v>
      </c>
      <c r="L25" s="5"/>
      <c r="M25" s="6">
        <f t="shared" ref="M25:M32" si="1">K25-DATE(YEAR(K25),1,0)</f>
        <v>216</v>
      </c>
      <c r="N25" s="6"/>
      <c r="O25" s="3" t="s">
        <v>25</v>
      </c>
      <c r="P25" s="3" t="s">
        <v>46</v>
      </c>
      <c r="Q25" s="7" t="s">
        <v>145</v>
      </c>
      <c r="R25" s="3" t="s">
        <v>146</v>
      </c>
    </row>
    <row r="26" spans="1:18" x14ac:dyDescent="0.35">
      <c r="A26" s="3" t="s">
        <v>147</v>
      </c>
      <c r="B26" s="3" t="s">
        <v>19</v>
      </c>
      <c r="C26" s="3" t="s">
        <v>20</v>
      </c>
      <c r="D26" s="3" t="s">
        <v>21</v>
      </c>
      <c r="E26" s="3">
        <v>-156.78741991000001</v>
      </c>
      <c r="F26" s="3">
        <v>65.999828350000001</v>
      </c>
      <c r="G26" s="3" t="s">
        <v>148</v>
      </c>
      <c r="H26" s="3" t="s">
        <v>149</v>
      </c>
      <c r="I26" s="3" t="s">
        <v>150</v>
      </c>
      <c r="J26" s="4">
        <f>4275+225</f>
        <v>4500</v>
      </c>
      <c r="K26" s="5">
        <v>30886</v>
      </c>
      <c r="L26" s="5"/>
      <c r="M26" s="6">
        <f t="shared" si="1"/>
        <v>205</v>
      </c>
      <c r="N26" s="6"/>
      <c r="O26" s="3" t="s">
        <v>25</v>
      </c>
      <c r="P26" s="3" t="s">
        <v>46</v>
      </c>
      <c r="Q26" s="7" t="s">
        <v>47</v>
      </c>
      <c r="R26" s="3" t="s">
        <v>151</v>
      </c>
    </row>
    <row r="27" spans="1:18" x14ac:dyDescent="0.35">
      <c r="A27" s="3" t="s">
        <v>152</v>
      </c>
      <c r="B27" s="3" t="s">
        <v>19</v>
      </c>
      <c r="C27" s="3" t="s">
        <v>20</v>
      </c>
      <c r="D27" s="3" t="s">
        <v>21</v>
      </c>
      <c r="E27" s="3">
        <v>-154.93444079</v>
      </c>
      <c r="F27" s="3">
        <v>65.111794500000002</v>
      </c>
      <c r="G27" s="3" t="s">
        <v>153</v>
      </c>
      <c r="H27" s="3" t="s">
        <v>154</v>
      </c>
      <c r="I27" s="3" t="s">
        <v>155</v>
      </c>
      <c r="J27" s="4">
        <v>2971</v>
      </c>
      <c r="K27" s="5">
        <v>27604</v>
      </c>
      <c r="L27" s="5"/>
      <c r="M27" s="6">
        <f t="shared" si="1"/>
        <v>210</v>
      </c>
      <c r="N27" s="6"/>
      <c r="O27" s="3" t="s">
        <v>25</v>
      </c>
      <c r="P27" s="3" t="s">
        <v>26</v>
      </c>
      <c r="Q27" s="7" t="s">
        <v>38</v>
      </c>
      <c r="R27" s="3" t="s">
        <v>39</v>
      </c>
    </row>
    <row r="28" spans="1:18" x14ac:dyDescent="0.35">
      <c r="A28" s="3" t="s">
        <v>156</v>
      </c>
      <c r="B28" s="3" t="s">
        <v>19</v>
      </c>
      <c r="C28" s="3" t="s">
        <v>20</v>
      </c>
      <c r="D28" s="3" t="s">
        <v>21</v>
      </c>
      <c r="E28" s="3">
        <v>-159.66808836000001</v>
      </c>
      <c r="F28" s="3">
        <v>63.354096220000002</v>
      </c>
      <c r="G28" s="3" t="s">
        <v>157</v>
      </c>
      <c r="H28" s="3" t="s">
        <v>158</v>
      </c>
      <c r="I28" s="3" t="s">
        <v>159</v>
      </c>
      <c r="J28" s="4">
        <v>4267</v>
      </c>
      <c r="K28" s="5">
        <v>27958</v>
      </c>
      <c r="L28" s="5"/>
      <c r="M28" s="6">
        <f t="shared" si="1"/>
        <v>199</v>
      </c>
      <c r="N28" s="6"/>
      <c r="O28" s="3" t="s">
        <v>45</v>
      </c>
      <c r="P28" s="3" t="s">
        <v>26</v>
      </c>
      <c r="Q28" s="7" t="s">
        <v>38</v>
      </c>
      <c r="R28" s="3" t="s">
        <v>160</v>
      </c>
    </row>
    <row r="29" spans="1:18" x14ac:dyDescent="0.35">
      <c r="A29" s="3" t="s">
        <v>161</v>
      </c>
      <c r="B29" s="3" t="s">
        <v>81</v>
      </c>
      <c r="C29" s="3" t="s">
        <v>20</v>
      </c>
      <c r="D29" s="3" t="s">
        <v>21</v>
      </c>
      <c r="E29" s="3">
        <v>-145.77442934000001</v>
      </c>
      <c r="F29" s="3">
        <v>64.170122390000003</v>
      </c>
      <c r="G29" s="3" t="s">
        <v>162</v>
      </c>
      <c r="H29" s="3" t="s">
        <v>163</v>
      </c>
      <c r="I29" s="3" t="s">
        <v>164</v>
      </c>
      <c r="J29" s="4">
        <f>1320+880</f>
        <v>2200</v>
      </c>
      <c r="K29" s="5">
        <v>39392</v>
      </c>
      <c r="L29" s="5"/>
      <c r="M29" s="6">
        <f t="shared" si="1"/>
        <v>310</v>
      </c>
      <c r="N29" s="6"/>
      <c r="O29" s="3" t="s">
        <v>25</v>
      </c>
      <c r="P29" s="3" t="s">
        <v>26</v>
      </c>
      <c r="Q29" s="7" t="s">
        <v>85</v>
      </c>
      <c r="R29" s="3" t="s">
        <v>33</v>
      </c>
    </row>
    <row r="30" spans="1:18" x14ac:dyDescent="0.35">
      <c r="A30" s="3" t="s">
        <v>165</v>
      </c>
      <c r="B30" s="3" t="s">
        <v>81</v>
      </c>
      <c r="C30" s="3" t="s">
        <v>20</v>
      </c>
      <c r="D30" s="3" t="s">
        <v>21</v>
      </c>
      <c r="E30" s="3">
        <v>-145.64863410999999</v>
      </c>
      <c r="F30" s="3">
        <v>64.146741430000006</v>
      </c>
      <c r="G30" s="3" t="s">
        <v>166</v>
      </c>
      <c r="H30" s="3" t="s">
        <v>167</v>
      </c>
      <c r="I30" s="3" t="s">
        <v>168</v>
      </c>
      <c r="J30" s="4">
        <f>105+521</f>
        <v>626</v>
      </c>
      <c r="K30" s="5">
        <v>37573</v>
      </c>
      <c r="L30" s="5"/>
      <c r="M30" s="6">
        <f t="shared" si="1"/>
        <v>317</v>
      </c>
      <c r="N30" s="6"/>
      <c r="O30" s="3" t="s">
        <v>25</v>
      </c>
      <c r="P30" s="3" t="s">
        <v>46</v>
      </c>
      <c r="Q30" s="7" t="s">
        <v>169</v>
      </c>
      <c r="R30" s="3" t="s">
        <v>170</v>
      </c>
    </row>
    <row r="31" spans="1:18" x14ac:dyDescent="0.35">
      <c r="A31" s="3" t="s">
        <v>171</v>
      </c>
      <c r="B31" s="3" t="s">
        <v>19</v>
      </c>
      <c r="C31" s="3" t="s">
        <v>20</v>
      </c>
      <c r="D31" s="3" t="s">
        <v>21</v>
      </c>
      <c r="E31" s="3">
        <v>-150.98138234999999</v>
      </c>
      <c r="F31" s="3">
        <v>66.613273359999994</v>
      </c>
      <c r="G31" s="3" t="s">
        <v>172</v>
      </c>
      <c r="H31" s="3" t="s">
        <v>173</v>
      </c>
      <c r="I31" s="3" t="s">
        <v>90</v>
      </c>
      <c r="J31" s="4">
        <v>11</v>
      </c>
      <c r="K31" s="5">
        <v>27612</v>
      </c>
      <c r="L31" s="5"/>
      <c r="M31" s="6">
        <f t="shared" si="1"/>
        <v>218</v>
      </c>
      <c r="N31" s="6"/>
      <c r="O31" s="3" t="s">
        <v>25</v>
      </c>
      <c r="P31" s="3" t="s">
        <v>26</v>
      </c>
      <c r="Q31" s="7" t="s">
        <v>27</v>
      </c>
      <c r="R31" s="3" t="s">
        <v>174</v>
      </c>
    </row>
    <row r="32" spans="1:18" x14ac:dyDescent="0.35">
      <c r="A32" s="3" t="s">
        <v>175</v>
      </c>
      <c r="B32" s="3" t="s">
        <v>19</v>
      </c>
      <c r="C32" s="3" t="s">
        <v>20</v>
      </c>
      <c r="D32" s="3" t="s">
        <v>21</v>
      </c>
      <c r="E32" s="3">
        <v>-160.63985074999999</v>
      </c>
      <c r="F32" s="3">
        <v>62.480297489999998</v>
      </c>
      <c r="G32" s="3" t="s">
        <v>176</v>
      </c>
      <c r="H32" s="3" t="s">
        <v>177</v>
      </c>
      <c r="I32" s="3" t="s">
        <v>178</v>
      </c>
      <c r="J32" s="4">
        <f>6868+822</f>
        <v>7690</v>
      </c>
      <c r="K32" s="5">
        <v>27962</v>
      </c>
      <c r="L32" s="5"/>
      <c r="M32" s="6">
        <f t="shared" si="1"/>
        <v>203</v>
      </c>
      <c r="N32" s="6"/>
      <c r="O32" s="3" t="s">
        <v>45</v>
      </c>
      <c r="P32" s="3" t="s">
        <v>26</v>
      </c>
      <c r="Q32" s="7" t="s">
        <v>38</v>
      </c>
      <c r="R32" s="3" t="s">
        <v>179</v>
      </c>
    </row>
    <row r="33" spans="1:18" x14ac:dyDescent="0.35">
      <c r="A33" s="3" t="s">
        <v>180</v>
      </c>
      <c r="B33" s="3" t="s">
        <v>19</v>
      </c>
      <c r="C33" s="3" t="s">
        <v>20</v>
      </c>
      <c r="D33" s="3" t="s">
        <v>21</v>
      </c>
      <c r="E33" s="3">
        <v>-157.34575468</v>
      </c>
      <c r="F33" s="3">
        <v>62.858799589999997</v>
      </c>
      <c r="G33" s="3" t="s">
        <v>181</v>
      </c>
      <c r="H33" s="3"/>
      <c r="I33" s="3" t="s">
        <v>67</v>
      </c>
      <c r="J33" s="4"/>
      <c r="K33" s="9"/>
      <c r="L33" s="5"/>
      <c r="M33" s="6"/>
      <c r="N33" s="6"/>
      <c r="O33" s="3" t="s">
        <v>45</v>
      </c>
      <c r="P33" s="3" t="s">
        <v>26</v>
      </c>
      <c r="Q33" s="7" t="s">
        <v>38</v>
      </c>
      <c r="R33" s="3" t="s">
        <v>182</v>
      </c>
    </row>
    <row r="34" spans="1:18" x14ac:dyDescent="0.35">
      <c r="A34" s="3" t="s">
        <v>183</v>
      </c>
      <c r="B34" s="3" t="s">
        <v>19</v>
      </c>
      <c r="C34" s="3" t="s">
        <v>20</v>
      </c>
      <c r="D34" s="3" t="s">
        <v>21</v>
      </c>
      <c r="E34" s="3">
        <v>-157.76727084000001</v>
      </c>
      <c r="F34" s="3">
        <v>64.064719120000007</v>
      </c>
      <c r="G34" s="3" t="s">
        <v>184</v>
      </c>
      <c r="H34" s="3" t="s">
        <v>185</v>
      </c>
      <c r="I34" s="3" t="s">
        <v>186</v>
      </c>
      <c r="J34" s="4">
        <f>246+76</f>
        <v>322</v>
      </c>
      <c r="K34" s="5">
        <v>41114</v>
      </c>
      <c r="L34" s="5"/>
      <c r="M34" s="6">
        <f>K34-DATE(YEAR(K34),1,0)</f>
        <v>206</v>
      </c>
      <c r="N34" s="6"/>
      <c r="O34" s="3" t="s">
        <v>45</v>
      </c>
      <c r="P34" s="3" t="s">
        <v>46</v>
      </c>
      <c r="Q34" s="7" t="s">
        <v>47</v>
      </c>
      <c r="R34" s="3" t="s">
        <v>187</v>
      </c>
    </row>
    <row r="35" spans="1:18" x14ac:dyDescent="0.35">
      <c r="A35" s="3" t="s">
        <v>188</v>
      </c>
      <c r="B35" s="3" t="s">
        <v>19</v>
      </c>
      <c r="C35" s="3" t="s">
        <v>20</v>
      </c>
      <c r="D35" s="3" t="s">
        <v>21</v>
      </c>
      <c r="E35" s="3">
        <v>-160.52658582999999</v>
      </c>
      <c r="F35" s="3">
        <v>63.242058630000002</v>
      </c>
      <c r="G35" s="3" t="s">
        <v>189</v>
      </c>
      <c r="H35" s="3" t="s">
        <v>190</v>
      </c>
      <c r="I35" s="3" t="s">
        <v>191</v>
      </c>
      <c r="J35" s="4">
        <f>7900+8</f>
        <v>7908</v>
      </c>
      <c r="K35" s="5">
        <v>31251</v>
      </c>
      <c r="L35" s="5"/>
      <c r="M35" s="6">
        <f>K35-DATE(YEAR(K35),1,0)</f>
        <v>204</v>
      </c>
      <c r="N35" s="6"/>
      <c r="O35" s="3" t="s">
        <v>45</v>
      </c>
      <c r="P35" s="3" t="s">
        <v>46</v>
      </c>
      <c r="Q35" s="7" t="s">
        <v>47</v>
      </c>
      <c r="R35" s="3" t="s">
        <v>33</v>
      </c>
    </row>
    <row r="36" spans="1:18" x14ac:dyDescent="0.35">
      <c r="A36" s="3" t="s">
        <v>192</v>
      </c>
      <c r="B36" s="3" t="s">
        <v>19</v>
      </c>
      <c r="C36" s="3" t="s">
        <v>20</v>
      </c>
      <c r="D36" s="3" t="s">
        <v>21</v>
      </c>
      <c r="E36" s="3">
        <v>-155.76177067</v>
      </c>
      <c r="F36" s="3">
        <v>66.149929900000004</v>
      </c>
      <c r="G36" s="3" t="s">
        <v>193</v>
      </c>
      <c r="H36" s="3" t="s">
        <v>194</v>
      </c>
      <c r="I36" s="3" t="s">
        <v>195</v>
      </c>
      <c r="J36" s="4">
        <v>14745</v>
      </c>
      <c r="K36" s="5">
        <v>27600</v>
      </c>
      <c r="L36" s="5"/>
      <c r="M36" s="6">
        <f>K36-DATE(YEAR(K36),1,0)</f>
        <v>206</v>
      </c>
      <c r="N36" s="6"/>
      <c r="O36" s="3" t="s">
        <v>25</v>
      </c>
      <c r="P36" s="3" t="s">
        <v>26</v>
      </c>
      <c r="Q36" s="7" t="s">
        <v>38</v>
      </c>
      <c r="R36" s="3" t="s">
        <v>196</v>
      </c>
    </row>
    <row r="37" spans="1:18" x14ac:dyDescent="0.35">
      <c r="A37" s="3" t="s">
        <v>197</v>
      </c>
      <c r="B37" s="3" t="s">
        <v>19</v>
      </c>
      <c r="C37" s="3" t="s">
        <v>20</v>
      </c>
      <c r="D37" s="3" t="s">
        <v>21</v>
      </c>
      <c r="E37" s="3">
        <v>-161.12566903000001</v>
      </c>
      <c r="F37" s="3">
        <v>61.939683930000001</v>
      </c>
      <c r="G37" s="3" t="s">
        <v>198</v>
      </c>
      <c r="H37" s="3"/>
      <c r="I37" s="3" t="s">
        <v>199</v>
      </c>
      <c r="J37" s="4"/>
      <c r="K37" s="9"/>
      <c r="L37" s="5"/>
      <c r="M37" s="6"/>
      <c r="N37" s="6"/>
      <c r="O37" s="3" t="s">
        <v>45</v>
      </c>
      <c r="P37" s="3" t="s">
        <v>26</v>
      </c>
      <c r="Q37" s="7" t="s">
        <v>38</v>
      </c>
      <c r="R37" s="3" t="s">
        <v>174</v>
      </c>
    </row>
    <row r="38" spans="1:18" x14ac:dyDescent="0.35">
      <c r="A38" s="3" t="s">
        <v>200</v>
      </c>
      <c r="B38" s="3" t="s">
        <v>81</v>
      </c>
      <c r="C38" s="3" t="s">
        <v>20</v>
      </c>
      <c r="D38" s="3" t="s">
        <v>21</v>
      </c>
      <c r="E38" s="3">
        <v>-138.97217506000001</v>
      </c>
      <c r="F38" s="3">
        <v>64.419145299999997</v>
      </c>
      <c r="G38" s="3"/>
      <c r="H38" s="3" t="s">
        <v>201</v>
      </c>
      <c r="I38" s="3" t="s">
        <v>202</v>
      </c>
      <c r="J38" s="4"/>
      <c r="K38" s="9"/>
      <c r="L38" s="5"/>
      <c r="M38" s="6"/>
      <c r="N38" s="6"/>
      <c r="O38" s="3" t="s">
        <v>128</v>
      </c>
      <c r="P38" s="3" t="s">
        <v>46</v>
      </c>
      <c r="Q38" s="7" t="s">
        <v>203</v>
      </c>
      <c r="R38" s="3" t="s">
        <v>204</v>
      </c>
    </row>
    <row r="39" spans="1:18" x14ac:dyDescent="0.35">
      <c r="A39" s="3" t="s">
        <v>205</v>
      </c>
      <c r="B39" s="3" t="s">
        <v>81</v>
      </c>
      <c r="C39" s="3" t="s">
        <v>20</v>
      </c>
      <c r="D39" s="3" t="s">
        <v>21</v>
      </c>
      <c r="E39" s="3">
        <v>-142.76694481999999</v>
      </c>
      <c r="F39" s="3">
        <v>65.194924560000004</v>
      </c>
      <c r="G39" s="3" t="s">
        <v>206</v>
      </c>
      <c r="H39" s="3" t="s">
        <v>207</v>
      </c>
      <c r="I39" s="3" t="s">
        <v>208</v>
      </c>
      <c r="J39" s="4">
        <v>50</v>
      </c>
      <c r="K39" s="5">
        <v>37112</v>
      </c>
      <c r="L39" s="5"/>
      <c r="M39" s="6">
        <f>K39-DATE(YEAR(K39),1,0)</f>
        <v>221</v>
      </c>
      <c r="N39" s="6"/>
      <c r="O39" s="3" t="s">
        <v>25</v>
      </c>
      <c r="P39" s="3" t="s">
        <v>26</v>
      </c>
      <c r="Q39" s="7" t="s">
        <v>118</v>
      </c>
      <c r="R39" s="3" t="s">
        <v>209</v>
      </c>
    </row>
    <row r="40" spans="1:18" x14ac:dyDescent="0.35">
      <c r="A40" s="3" t="s">
        <v>210</v>
      </c>
      <c r="B40" s="3" t="s">
        <v>75</v>
      </c>
      <c r="C40" s="3" t="s">
        <v>20</v>
      </c>
      <c r="D40" s="3" t="s">
        <v>21</v>
      </c>
      <c r="E40" s="3">
        <v>-147.82080454999999</v>
      </c>
      <c r="F40" s="3">
        <v>65.057347160000006</v>
      </c>
      <c r="G40" s="3" t="s">
        <v>211</v>
      </c>
      <c r="H40" s="3" t="s">
        <v>212</v>
      </c>
      <c r="I40" s="3" t="s">
        <v>213</v>
      </c>
      <c r="J40" s="4">
        <f>751+345</f>
        <v>1096</v>
      </c>
      <c r="K40" s="5">
        <v>35284</v>
      </c>
      <c r="L40" s="5"/>
      <c r="M40" s="6">
        <f>K40-DATE(YEAR(K40),1,0)</f>
        <v>220</v>
      </c>
      <c r="N40" s="6"/>
      <c r="O40" s="3" t="s">
        <v>25</v>
      </c>
      <c r="P40" s="3" t="s">
        <v>26</v>
      </c>
      <c r="Q40" s="7" t="s">
        <v>79</v>
      </c>
      <c r="R40" s="3" t="s">
        <v>214</v>
      </c>
    </row>
    <row r="41" spans="1:18" x14ac:dyDescent="0.35">
      <c r="A41" s="3" t="s">
        <v>215</v>
      </c>
      <c r="B41" s="3" t="s">
        <v>19</v>
      </c>
      <c r="C41" s="3" t="s">
        <v>20</v>
      </c>
      <c r="D41" s="3" t="s">
        <v>21</v>
      </c>
      <c r="E41" s="3">
        <v>-153.42544726</v>
      </c>
      <c r="F41" s="3">
        <v>66.760771640000002</v>
      </c>
      <c r="G41" s="3" t="s">
        <v>216</v>
      </c>
      <c r="H41" s="3" t="s">
        <v>125</v>
      </c>
      <c r="I41" s="3" t="s">
        <v>217</v>
      </c>
      <c r="J41" s="4"/>
      <c r="K41" s="9"/>
      <c r="L41" s="5"/>
      <c r="M41" s="6"/>
      <c r="N41" s="6"/>
      <c r="O41" s="3" t="s">
        <v>25</v>
      </c>
      <c r="P41" s="3" t="s">
        <v>26</v>
      </c>
      <c r="Q41" s="7" t="s">
        <v>27</v>
      </c>
      <c r="R41" s="3" t="s">
        <v>218</v>
      </c>
    </row>
    <row r="42" spans="1:18" x14ac:dyDescent="0.35">
      <c r="A42" s="3" t="s">
        <v>219</v>
      </c>
      <c r="B42" s="3" t="s">
        <v>19</v>
      </c>
      <c r="C42" s="3" t="s">
        <v>20</v>
      </c>
      <c r="D42" s="3" t="s">
        <v>21</v>
      </c>
      <c r="E42" s="3">
        <v>-146.23789914</v>
      </c>
      <c r="F42" s="3">
        <v>64.961378460000006</v>
      </c>
      <c r="G42" s="3" t="s">
        <v>220</v>
      </c>
      <c r="H42" s="3" t="s">
        <v>221</v>
      </c>
      <c r="I42" s="3" t="s">
        <v>222</v>
      </c>
      <c r="J42" s="4">
        <f>2803+115+1605+77</f>
        <v>4600</v>
      </c>
      <c r="K42" s="5">
        <v>40761</v>
      </c>
      <c r="L42" s="8">
        <v>210</v>
      </c>
      <c r="M42" s="6">
        <f>K42-DATE(YEAR(K42),1,0)</f>
        <v>218</v>
      </c>
      <c r="N42" s="6">
        <f>L42-DATE(YEAR(L42),1,0)</f>
        <v>210</v>
      </c>
      <c r="O42" s="3" t="s">
        <v>25</v>
      </c>
      <c r="P42" s="3" t="s">
        <v>46</v>
      </c>
      <c r="Q42" s="7" t="s">
        <v>223</v>
      </c>
      <c r="R42" s="3" t="s">
        <v>224</v>
      </c>
    </row>
    <row r="43" spans="1:18" x14ac:dyDescent="0.35">
      <c r="A43" s="3" t="s">
        <v>225</v>
      </c>
      <c r="B43" s="3" t="s">
        <v>19</v>
      </c>
      <c r="C43" s="3" t="s">
        <v>20</v>
      </c>
      <c r="D43" s="3" t="s">
        <v>21</v>
      </c>
      <c r="E43" s="3">
        <v>-146.15427978</v>
      </c>
      <c r="F43" s="3">
        <v>64.951405579999999</v>
      </c>
      <c r="G43" s="3" t="s">
        <v>226</v>
      </c>
      <c r="H43" s="3" t="s">
        <v>227</v>
      </c>
      <c r="I43" s="3" t="s">
        <v>228</v>
      </c>
      <c r="J43" s="4">
        <v>76</v>
      </c>
      <c r="K43" s="5">
        <v>27249</v>
      </c>
      <c r="L43" s="5"/>
      <c r="M43" s="6">
        <f>K43-DATE(YEAR(K43),1,0)</f>
        <v>220</v>
      </c>
      <c r="N43" s="6"/>
      <c r="O43" s="3" t="s">
        <v>25</v>
      </c>
      <c r="P43" s="3" t="s">
        <v>46</v>
      </c>
      <c r="Q43" s="7" t="s">
        <v>223</v>
      </c>
      <c r="R43" s="3" t="s">
        <v>229</v>
      </c>
    </row>
    <row r="44" spans="1:18" x14ac:dyDescent="0.35">
      <c r="A44" s="3" t="s">
        <v>230</v>
      </c>
      <c r="B44" s="3" t="s">
        <v>19</v>
      </c>
      <c r="C44" s="3" t="s">
        <v>20</v>
      </c>
      <c r="D44" s="3" t="s">
        <v>21</v>
      </c>
      <c r="E44" s="3">
        <v>-146.56015164999999</v>
      </c>
      <c r="F44" s="3">
        <v>64.855663109999995</v>
      </c>
      <c r="G44" s="3" t="s">
        <v>231</v>
      </c>
      <c r="H44" s="3" t="s">
        <v>232</v>
      </c>
      <c r="I44" s="3" t="s">
        <v>233</v>
      </c>
      <c r="J44" s="4">
        <v>19</v>
      </c>
      <c r="K44" s="5">
        <v>42957</v>
      </c>
      <c r="L44" s="5"/>
      <c r="M44" s="6">
        <f>K44-DATE(YEAR(K44),1,0)</f>
        <v>222</v>
      </c>
      <c r="N44" s="6"/>
      <c r="O44" s="3" t="s">
        <v>25</v>
      </c>
      <c r="P44" s="3" t="s">
        <v>46</v>
      </c>
      <c r="Q44" s="7" t="s">
        <v>223</v>
      </c>
      <c r="R44" s="3" t="s">
        <v>33</v>
      </c>
    </row>
    <row r="45" spans="1:18" x14ac:dyDescent="0.35">
      <c r="A45" s="3" t="s">
        <v>234</v>
      </c>
      <c r="B45" s="3" t="s">
        <v>81</v>
      </c>
      <c r="C45" s="3" t="s">
        <v>20</v>
      </c>
      <c r="D45" s="3" t="s">
        <v>21</v>
      </c>
      <c r="E45" s="3">
        <v>-147.59943035000001</v>
      </c>
      <c r="F45" s="3">
        <v>67.637557110000003</v>
      </c>
      <c r="G45" s="3" t="s">
        <v>235</v>
      </c>
      <c r="H45" s="3" t="s">
        <v>236</v>
      </c>
      <c r="I45" s="3" t="s">
        <v>237</v>
      </c>
      <c r="J45" s="4"/>
      <c r="K45" s="9"/>
      <c r="L45" s="5"/>
      <c r="M45" s="6"/>
      <c r="N45" s="6"/>
      <c r="O45" s="3" t="s">
        <v>25</v>
      </c>
      <c r="P45" s="3" t="s">
        <v>26</v>
      </c>
      <c r="Q45" s="7" t="s">
        <v>118</v>
      </c>
      <c r="R45" s="3" t="s">
        <v>238</v>
      </c>
    </row>
    <row r="46" spans="1:18" x14ac:dyDescent="0.35">
      <c r="A46" s="3" t="s">
        <v>239</v>
      </c>
      <c r="B46" s="3" t="s">
        <v>19</v>
      </c>
      <c r="C46" s="3" t="s">
        <v>20</v>
      </c>
      <c r="D46" s="3" t="s">
        <v>21</v>
      </c>
      <c r="E46" s="3">
        <v>-161.89637504000001</v>
      </c>
      <c r="F46" s="3">
        <v>62.49046938</v>
      </c>
      <c r="G46" s="3" t="s">
        <v>240</v>
      </c>
      <c r="H46" s="3" t="s">
        <v>241</v>
      </c>
      <c r="I46" s="3" t="s">
        <v>242</v>
      </c>
      <c r="J46" s="4">
        <v>54942</v>
      </c>
      <c r="K46" s="5">
        <v>31253</v>
      </c>
      <c r="L46" s="5"/>
      <c r="M46" s="6">
        <f t="shared" ref="M46:M55" si="2">K46-DATE(YEAR(K46),1,0)</f>
        <v>206</v>
      </c>
      <c r="N46" s="6"/>
      <c r="O46" s="3" t="s">
        <v>45</v>
      </c>
      <c r="P46" s="3" t="s">
        <v>46</v>
      </c>
      <c r="Q46" s="7" t="s">
        <v>47</v>
      </c>
      <c r="R46" s="3" t="s">
        <v>243</v>
      </c>
    </row>
    <row r="47" spans="1:18" x14ac:dyDescent="0.35">
      <c r="A47" s="3" t="s">
        <v>244</v>
      </c>
      <c r="B47" s="3" t="s">
        <v>19</v>
      </c>
      <c r="C47" s="3" t="s">
        <v>20</v>
      </c>
      <c r="D47" s="3" t="s">
        <v>41</v>
      </c>
      <c r="E47" s="3">
        <v>-155.76477700000001</v>
      </c>
      <c r="F47" s="3">
        <v>66.216706200000004</v>
      </c>
      <c r="G47" s="3" t="s">
        <v>245</v>
      </c>
      <c r="H47" s="3" t="s">
        <v>246</v>
      </c>
      <c r="I47" s="3" t="s">
        <v>247</v>
      </c>
      <c r="J47" s="4">
        <f>14441+6215</f>
        <v>20656</v>
      </c>
      <c r="K47" s="5">
        <v>34896</v>
      </c>
      <c r="L47" s="8">
        <v>192</v>
      </c>
      <c r="M47" s="6">
        <f t="shared" si="2"/>
        <v>197</v>
      </c>
      <c r="N47" s="6">
        <f>L47-DATE(YEAR(L47),1,0)</f>
        <v>192</v>
      </c>
      <c r="O47" s="3" t="s">
        <v>25</v>
      </c>
      <c r="P47" s="3" t="s">
        <v>46</v>
      </c>
      <c r="Q47" s="7" t="s">
        <v>47</v>
      </c>
      <c r="R47" s="3" t="s">
        <v>248</v>
      </c>
    </row>
    <row r="48" spans="1:18" x14ac:dyDescent="0.35">
      <c r="A48" s="3" t="s">
        <v>249</v>
      </c>
      <c r="B48" s="3" t="s">
        <v>81</v>
      </c>
      <c r="C48" s="3" t="s">
        <v>20</v>
      </c>
      <c r="D48" s="3" t="s">
        <v>21</v>
      </c>
      <c r="E48" s="3">
        <v>-147.58857234999999</v>
      </c>
      <c r="F48" s="3">
        <v>64.454310860000007</v>
      </c>
      <c r="G48" s="3" t="s">
        <v>250</v>
      </c>
      <c r="H48" s="3" t="s">
        <v>251</v>
      </c>
      <c r="I48" s="3" t="s">
        <v>252</v>
      </c>
      <c r="J48" s="4">
        <v>100</v>
      </c>
      <c r="K48" s="5">
        <v>30946</v>
      </c>
      <c r="L48" s="5"/>
      <c r="M48" s="6">
        <f t="shared" si="2"/>
        <v>265</v>
      </c>
      <c r="N48" s="6"/>
      <c r="O48" s="3" t="s">
        <v>25</v>
      </c>
      <c r="P48" s="3" t="s">
        <v>26</v>
      </c>
      <c r="Q48" s="7" t="s">
        <v>79</v>
      </c>
      <c r="R48" s="3" t="s">
        <v>33</v>
      </c>
    </row>
    <row r="49" spans="1:18" x14ac:dyDescent="0.35">
      <c r="A49" s="3" t="s">
        <v>253</v>
      </c>
      <c r="B49" s="3" t="s">
        <v>75</v>
      </c>
      <c r="C49" s="3" t="s">
        <v>20</v>
      </c>
      <c r="D49" s="3" t="s">
        <v>21</v>
      </c>
      <c r="E49" s="3">
        <v>-149.12267942</v>
      </c>
      <c r="F49" s="3">
        <v>64.428281889999994</v>
      </c>
      <c r="G49" s="3" t="s">
        <v>254</v>
      </c>
      <c r="H49" s="3" t="s">
        <v>255</v>
      </c>
      <c r="I49" s="3" t="s">
        <v>256</v>
      </c>
      <c r="J49" s="4">
        <v>100</v>
      </c>
      <c r="K49" s="5">
        <v>34877</v>
      </c>
      <c r="L49" s="5"/>
      <c r="M49" s="6">
        <f t="shared" si="2"/>
        <v>178</v>
      </c>
      <c r="N49" s="6"/>
      <c r="O49" s="3" t="s">
        <v>25</v>
      </c>
      <c r="P49" s="3" t="s">
        <v>26</v>
      </c>
      <c r="Q49" s="7" t="s">
        <v>85</v>
      </c>
      <c r="R49" s="3" t="s">
        <v>257</v>
      </c>
    </row>
    <row r="50" spans="1:18" x14ac:dyDescent="0.35">
      <c r="A50" s="3" t="s">
        <v>258</v>
      </c>
      <c r="B50" s="3" t="s">
        <v>81</v>
      </c>
      <c r="C50" s="3" t="s">
        <v>20</v>
      </c>
      <c r="D50" s="3" t="s">
        <v>21</v>
      </c>
      <c r="E50" s="3">
        <v>-145.59728475</v>
      </c>
      <c r="F50" s="3">
        <v>64.097584990000001</v>
      </c>
      <c r="G50" s="3" t="s">
        <v>259</v>
      </c>
      <c r="H50" s="3" t="s">
        <v>260</v>
      </c>
      <c r="I50" s="3" t="s">
        <v>261</v>
      </c>
      <c r="J50" s="4">
        <v>2000</v>
      </c>
      <c r="K50" s="5">
        <v>37915</v>
      </c>
      <c r="L50" s="5"/>
      <c r="M50" s="6">
        <f t="shared" si="2"/>
        <v>294</v>
      </c>
      <c r="N50" s="6"/>
      <c r="O50" s="3" t="s">
        <v>25</v>
      </c>
      <c r="P50" s="3" t="s">
        <v>46</v>
      </c>
      <c r="Q50" s="7" t="s">
        <v>169</v>
      </c>
      <c r="R50" s="3" t="s">
        <v>33</v>
      </c>
    </row>
    <row r="51" spans="1:18" x14ac:dyDescent="0.35">
      <c r="A51" s="3" t="s">
        <v>262</v>
      </c>
      <c r="B51" s="3" t="s">
        <v>81</v>
      </c>
      <c r="C51" s="3" t="s">
        <v>20</v>
      </c>
      <c r="D51" s="3" t="s">
        <v>21</v>
      </c>
      <c r="E51" s="3">
        <v>-142.76116235000001</v>
      </c>
      <c r="F51" s="3">
        <v>67.464747189999997</v>
      </c>
      <c r="G51" s="3" t="s">
        <v>263</v>
      </c>
      <c r="H51" s="3" t="s">
        <v>264</v>
      </c>
      <c r="I51" s="3" t="s">
        <v>265</v>
      </c>
      <c r="J51" s="4">
        <f>437+1</f>
        <v>438</v>
      </c>
      <c r="K51" s="5">
        <v>31278</v>
      </c>
      <c r="L51" s="5"/>
      <c r="M51" s="6">
        <f t="shared" si="2"/>
        <v>231</v>
      </c>
      <c r="N51" s="6"/>
      <c r="O51" s="3" t="s">
        <v>25</v>
      </c>
      <c r="P51" s="3" t="s">
        <v>46</v>
      </c>
      <c r="Q51" s="7" t="s">
        <v>145</v>
      </c>
      <c r="R51" s="3" t="s">
        <v>266</v>
      </c>
    </row>
    <row r="52" spans="1:18" x14ac:dyDescent="0.35">
      <c r="A52" s="3" t="s">
        <v>267</v>
      </c>
      <c r="B52" s="3" t="s">
        <v>19</v>
      </c>
      <c r="C52" s="3" t="s">
        <v>20</v>
      </c>
      <c r="D52" s="3" t="s">
        <v>21</v>
      </c>
      <c r="E52" s="3">
        <v>-155.69880203</v>
      </c>
      <c r="F52" s="3">
        <v>66.254044070000006</v>
      </c>
      <c r="G52" s="3" t="s">
        <v>268</v>
      </c>
      <c r="H52" s="3" t="s">
        <v>269</v>
      </c>
      <c r="I52" s="3" t="s">
        <v>270</v>
      </c>
      <c r="J52" s="4">
        <v>400</v>
      </c>
      <c r="K52" s="5">
        <v>34896</v>
      </c>
      <c r="L52" s="5"/>
      <c r="M52" s="6">
        <f t="shared" si="2"/>
        <v>197</v>
      </c>
      <c r="N52" s="6"/>
      <c r="O52" s="3" t="s">
        <v>25</v>
      </c>
      <c r="P52" s="3" t="s">
        <v>26</v>
      </c>
      <c r="Q52" s="7" t="s">
        <v>38</v>
      </c>
      <c r="R52" s="3" t="s">
        <v>33</v>
      </c>
    </row>
    <row r="53" spans="1:18" x14ac:dyDescent="0.35">
      <c r="A53" s="3" t="s">
        <v>271</v>
      </c>
      <c r="B53" s="3" t="s">
        <v>19</v>
      </c>
      <c r="C53" s="3" t="s">
        <v>20</v>
      </c>
      <c r="D53" s="3" t="s">
        <v>21</v>
      </c>
      <c r="E53" s="3">
        <v>-156.31717494</v>
      </c>
      <c r="F53" s="3">
        <v>66.199208240000004</v>
      </c>
      <c r="G53" s="3" t="s">
        <v>272</v>
      </c>
      <c r="H53" s="3" t="s">
        <v>273</v>
      </c>
      <c r="I53" s="3" t="s">
        <v>274</v>
      </c>
      <c r="J53" s="4">
        <f>5440+478+8150+2430</f>
        <v>16498</v>
      </c>
      <c r="K53" s="5">
        <v>41110</v>
      </c>
      <c r="L53" s="5"/>
      <c r="M53" s="6">
        <f t="shared" si="2"/>
        <v>202</v>
      </c>
      <c r="N53" s="6"/>
      <c r="O53" s="3" t="s">
        <v>25</v>
      </c>
      <c r="P53" s="3" t="s">
        <v>46</v>
      </c>
      <c r="Q53" s="7" t="s">
        <v>47</v>
      </c>
      <c r="R53" s="3" t="s">
        <v>28</v>
      </c>
    </row>
    <row r="54" spans="1:18" x14ac:dyDescent="0.35">
      <c r="A54" s="3" t="s">
        <v>275</v>
      </c>
      <c r="B54" s="3" t="s">
        <v>81</v>
      </c>
      <c r="C54" s="3" t="s">
        <v>20</v>
      </c>
      <c r="D54" s="3" t="s">
        <v>21</v>
      </c>
      <c r="E54" s="3">
        <v>-145.44455669000001</v>
      </c>
      <c r="F54" s="3">
        <v>64.058886110000003</v>
      </c>
      <c r="G54" s="3" t="s">
        <v>276</v>
      </c>
      <c r="H54" s="3" t="s">
        <v>277</v>
      </c>
      <c r="I54" s="3" t="s">
        <v>278</v>
      </c>
      <c r="J54" s="4">
        <f>8570+700</f>
        <v>9270</v>
      </c>
      <c r="K54" s="5">
        <v>34996</v>
      </c>
      <c r="L54" s="5"/>
      <c r="M54" s="6">
        <f t="shared" si="2"/>
        <v>297</v>
      </c>
      <c r="N54" s="6"/>
      <c r="O54" s="3" t="s">
        <v>25</v>
      </c>
      <c r="P54" s="3" t="s">
        <v>26</v>
      </c>
      <c r="Q54" s="7" t="s">
        <v>85</v>
      </c>
      <c r="R54" s="3" t="s">
        <v>279</v>
      </c>
    </row>
    <row r="55" spans="1:18" x14ac:dyDescent="0.35">
      <c r="A55" s="3" t="s">
        <v>280</v>
      </c>
      <c r="B55" s="3" t="s">
        <v>81</v>
      </c>
      <c r="C55" s="3" t="s">
        <v>20</v>
      </c>
      <c r="D55" s="3" t="s">
        <v>41</v>
      </c>
      <c r="E55" s="3">
        <v>-145.85198918</v>
      </c>
      <c r="F55" s="3">
        <v>64.137595869999998</v>
      </c>
      <c r="G55" s="3" t="s">
        <v>281</v>
      </c>
      <c r="H55" s="3" t="s">
        <v>282</v>
      </c>
      <c r="I55" s="3" t="s">
        <v>283</v>
      </c>
      <c r="J55" s="4">
        <f>2897+5549+33400+6279+2377+1246</f>
        <v>51748</v>
      </c>
      <c r="K55" s="5">
        <v>43781</v>
      </c>
      <c r="L55" s="8">
        <v>311</v>
      </c>
      <c r="M55" s="6">
        <f t="shared" si="2"/>
        <v>316</v>
      </c>
      <c r="N55" s="6">
        <f>L55-DATE(YEAR(L55),1,0)</f>
        <v>311</v>
      </c>
      <c r="O55" s="3" t="s">
        <v>25</v>
      </c>
      <c r="P55" s="3" t="s">
        <v>46</v>
      </c>
      <c r="Q55" s="7" t="s">
        <v>169</v>
      </c>
      <c r="R55" s="3" t="s">
        <v>284</v>
      </c>
    </row>
    <row r="56" spans="1:18" x14ac:dyDescent="0.35">
      <c r="A56" s="3" t="s">
        <v>285</v>
      </c>
      <c r="B56" s="3" t="s">
        <v>19</v>
      </c>
      <c r="C56" s="3" t="s">
        <v>20</v>
      </c>
      <c r="D56" s="3" t="s">
        <v>21</v>
      </c>
      <c r="E56" s="3">
        <v>-153.32149276000001</v>
      </c>
      <c r="F56" s="3">
        <v>66.457549580000006</v>
      </c>
      <c r="G56" s="3" t="s">
        <v>286</v>
      </c>
      <c r="H56" s="3" t="s">
        <v>125</v>
      </c>
      <c r="I56" s="3" t="s">
        <v>217</v>
      </c>
      <c r="J56" s="4"/>
      <c r="K56" s="9"/>
      <c r="L56" s="5"/>
      <c r="M56" s="6"/>
      <c r="N56" s="6"/>
      <c r="O56" s="3" t="s">
        <v>25</v>
      </c>
      <c r="P56" s="3" t="s">
        <v>26</v>
      </c>
      <c r="Q56" s="7" t="s">
        <v>27</v>
      </c>
      <c r="R56" s="3" t="s">
        <v>218</v>
      </c>
    </row>
    <row r="57" spans="1:18" x14ac:dyDescent="0.35">
      <c r="A57" s="3" t="s">
        <v>287</v>
      </c>
      <c r="B57" s="3" t="s">
        <v>19</v>
      </c>
      <c r="C57" s="3" t="s">
        <v>20</v>
      </c>
      <c r="D57" s="3" t="s">
        <v>21</v>
      </c>
      <c r="E57" s="3">
        <v>-157.40865951999999</v>
      </c>
      <c r="F57" s="3">
        <v>63.106018370000001</v>
      </c>
      <c r="G57" s="3" t="s">
        <v>288</v>
      </c>
      <c r="H57" s="3" t="s">
        <v>289</v>
      </c>
      <c r="I57" s="3" t="s">
        <v>290</v>
      </c>
      <c r="J57" s="4">
        <f>2733+153</f>
        <v>2886</v>
      </c>
      <c r="K57" s="5">
        <v>27225</v>
      </c>
      <c r="L57" s="5"/>
      <c r="M57" s="6">
        <f>K57-DATE(YEAR(K57),1,0)</f>
        <v>196</v>
      </c>
      <c r="N57" s="6"/>
      <c r="O57" s="3" t="s">
        <v>45</v>
      </c>
      <c r="P57" s="3" t="s">
        <v>26</v>
      </c>
      <c r="Q57" s="7" t="s">
        <v>38</v>
      </c>
      <c r="R57" s="3" t="s">
        <v>291</v>
      </c>
    </row>
    <row r="58" spans="1:18" x14ac:dyDescent="0.35">
      <c r="A58" s="3" t="s">
        <v>292</v>
      </c>
      <c r="B58" s="3" t="s">
        <v>81</v>
      </c>
      <c r="C58" s="3" t="s">
        <v>20</v>
      </c>
      <c r="D58" s="3" t="s">
        <v>21</v>
      </c>
      <c r="E58" s="3">
        <v>-139.71006728</v>
      </c>
      <c r="F58" s="3">
        <v>62.255647230000001</v>
      </c>
      <c r="G58" s="3"/>
      <c r="H58" s="3" t="s">
        <v>293</v>
      </c>
      <c r="I58" s="3" t="s">
        <v>294</v>
      </c>
      <c r="J58" s="4">
        <v>125</v>
      </c>
      <c r="K58" s="5">
        <v>33891</v>
      </c>
      <c r="L58" s="5"/>
      <c r="M58" s="6">
        <f>K58-DATE(YEAR(K58),1,0)</f>
        <v>288</v>
      </c>
      <c r="N58" s="6"/>
      <c r="O58" s="3" t="s">
        <v>128</v>
      </c>
      <c r="P58" s="3" t="s">
        <v>46</v>
      </c>
      <c r="Q58" s="7" t="s">
        <v>295</v>
      </c>
      <c r="R58" s="3" t="s">
        <v>296</v>
      </c>
    </row>
    <row r="59" spans="1:18" x14ac:dyDescent="0.35">
      <c r="A59" s="3" t="s">
        <v>297</v>
      </c>
      <c r="B59" s="3" t="s">
        <v>81</v>
      </c>
      <c r="C59" s="3" t="s">
        <v>20</v>
      </c>
      <c r="D59" s="3" t="s">
        <v>21</v>
      </c>
      <c r="E59" s="3">
        <v>-142.83253255</v>
      </c>
      <c r="F59" s="3">
        <v>66.604328820000006</v>
      </c>
      <c r="G59" s="3" t="s">
        <v>298</v>
      </c>
      <c r="H59" s="3" t="s">
        <v>299</v>
      </c>
      <c r="I59" s="3" t="s">
        <v>300</v>
      </c>
      <c r="J59" s="4">
        <v>200</v>
      </c>
      <c r="K59" s="5">
        <v>31258</v>
      </c>
      <c r="L59" s="5"/>
      <c r="M59" s="6">
        <f>K59-DATE(YEAR(K59),1,0)</f>
        <v>211</v>
      </c>
      <c r="N59" s="6"/>
      <c r="O59" s="3" t="s">
        <v>25</v>
      </c>
      <c r="P59" s="3" t="s">
        <v>26</v>
      </c>
      <c r="Q59" s="7" t="s">
        <v>118</v>
      </c>
      <c r="R59" s="3" t="s">
        <v>301</v>
      </c>
    </row>
    <row r="60" spans="1:18" x14ac:dyDescent="0.35">
      <c r="A60" s="3" t="s">
        <v>302</v>
      </c>
      <c r="B60" s="3" t="s">
        <v>81</v>
      </c>
      <c r="C60" s="3" t="s">
        <v>20</v>
      </c>
      <c r="D60" s="3" t="s">
        <v>21</v>
      </c>
      <c r="E60" s="3">
        <v>-141.92783958999999</v>
      </c>
      <c r="F60" s="3">
        <v>66.262690140000004</v>
      </c>
      <c r="G60" s="3" t="s">
        <v>303</v>
      </c>
      <c r="H60" s="3" t="s">
        <v>304</v>
      </c>
      <c r="I60" s="3" t="s">
        <v>300</v>
      </c>
      <c r="J60" s="4">
        <v>80</v>
      </c>
      <c r="K60" s="5">
        <v>31257</v>
      </c>
      <c r="L60" s="5"/>
      <c r="M60" s="6">
        <f>K60-DATE(YEAR(K60),1,0)</f>
        <v>210</v>
      </c>
      <c r="N60" s="6"/>
      <c r="O60" s="3" t="s">
        <v>25</v>
      </c>
      <c r="P60" s="3" t="s">
        <v>26</v>
      </c>
      <c r="Q60" s="7" t="s">
        <v>118</v>
      </c>
      <c r="R60" s="3" t="s">
        <v>305</v>
      </c>
    </row>
    <row r="61" spans="1:18" x14ac:dyDescent="0.35">
      <c r="A61" s="3" t="s">
        <v>306</v>
      </c>
      <c r="B61" s="3" t="s">
        <v>19</v>
      </c>
      <c r="C61" s="3" t="s">
        <v>20</v>
      </c>
      <c r="D61" s="3" t="s">
        <v>21</v>
      </c>
      <c r="E61" s="3">
        <v>-159.56071829000001</v>
      </c>
      <c r="F61" s="3">
        <v>63.483478499999997</v>
      </c>
      <c r="G61" s="3" t="s">
        <v>307</v>
      </c>
      <c r="H61" s="3"/>
      <c r="I61" s="3"/>
      <c r="J61" s="4"/>
      <c r="K61" s="9"/>
      <c r="L61" s="5"/>
      <c r="M61" s="6"/>
      <c r="N61" s="6"/>
      <c r="O61" s="3" t="s">
        <v>45</v>
      </c>
      <c r="P61" s="3" t="s">
        <v>26</v>
      </c>
      <c r="Q61" s="7" t="s">
        <v>38</v>
      </c>
      <c r="R61" s="3" t="s">
        <v>174</v>
      </c>
    </row>
    <row r="62" spans="1:18" x14ac:dyDescent="0.35">
      <c r="A62" s="3" t="s">
        <v>308</v>
      </c>
      <c r="B62" s="3" t="s">
        <v>19</v>
      </c>
      <c r="C62" s="3" t="s">
        <v>20</v>
      </c>
      <c r="D62" s="3" t="s">
        <v>21</v>
      </c>
      <c r="E62" s="3">
        <v>-155.99202636000001</v>
      </c>
      <c r="F62" s="3">
        <v>65.198243550000001</v>
      </c>
      <c r="G62" s="3" t="s">
        <v>309</v>
      </c>
      <c r="H62" s="3" t="s">
        <v>310</v>
      </c>
      <c r="I62" s="3" t="s">
        <v>311</v>
      </c>
      <c r="J62" s="4">
        <f>41+100</f>
        <v>141</v>
      </c>
      <c r="K62" s="5">
        <v>40750</v>
      </c>
      <c r="L62" s="5"/>
      <c r="M62" s="6">
        <f>K62-DATE(YEAR(K62),1,0)</f>
        <v>207</v>
      </c>
      <c r="N62" s="6"/>
      <c r="O62" s="3" t="s">
        <v>25</v>
      </c>
      <c r="P62" s="3" t="s">
        <v>26</v>
      </c>
      <c r="Q62" s="7" t="s">
        <v>38</v>
      </c>
      <c r="R62" s="3" t="s">
        <v>312</v>
      </c>
    </row>
    <row r="63" spans="1:18" x14ac:dyDescent="0.35">
      <c r="A63" s="3" t="s">
        <v>313</v>
      </c>
      <c r="B63" s="3" t="s">
        <v>19</v>
      </c>
      <c r="C63" s="3" t="s">
        <v>20</v>
      </c>
      <c r="D63" s="3" t="s">
        <v>21</v>
      </c>
      <c r="E63" s="3">
        <v>-163.01680666999999</v>
      </c>
      <c r="F63" s="3">
        <v>62.849283550000003</v>
      </c>
      <c r="G63" s="3" t="s">
        <v>314</v>
      </c>
      <c r="H63" s="3" t="s">
        <v>315</v>
      </c>
      <c r="I63" s="3" t="s">
        <v>316</v>
      </c>
      <c r="J63" s="4">
        <v>4</v>
      </c>
      <c r="K63" s="5">
        <v>45121</v>
      </c>
      <c r="L63" s="5"/>
      <c r="M63" s="6">
        <f>K63-DATE(YEAR(K63),1,0)</f>
        <v>195</v>
      </c>
      <c r="N63" s="6"/>
      <c r="O63" s="3" t="s">
        <v>45</v>
      </c>
      <c r="P63" s="3" t="s">
        <v>26</v>
      </c>
      <c r="Q63" s="7" t="s">
        <v>38</v>
      </c>
      <c r="R63" s="3" t="s">
        <v>33</v>
      </c>
    </row>
    <row r="64" spans="1:18" x14ac:dyDescent="0.35">
      <c r="A64" s="3" t="s">
        <v>317</v>
      </c>
      <c r="B64" s="3" t="s">
        <v>19</v>
      </c>
      <c r="C64" s="3" t="s">
        <v>20</v>
      </c>
      <c r="D64" s="3" t="s">
        <v>21</v>
      </c>
      <c r="E64" s="3">
        <v>-157.78629276000001</v>
      </c>
      <c r="F64" s="3">
        <v>64.341968249999994</v>
      </c>
      <c r="G64" s="3" t="s">
        <v>318</v>
      </c>
      <c r="H64" s="3" t="s">
        <v>133</v>
      </c>
      <c r="I64" s="3" t="s">
        <v>319</v>
      </c>
      <c r="J64" s="4"/>
      <c r="K64" s="9"/>
      <c r="L64" s="5"/>
      <c r="M64" s="6"/>
      <c r="N64" s="6"/>
      <c r="O64" s="3" t="s">
        <v>45</v>
      </c>
      <c r="P64" s="3" t="s">
        <v>26</v>
      </c>
      <c r="Q64" s="7" t="s">
        <v>38</v>
      </c>
      <c r="R64" s="3" t="s">
        <v>174</v>
      </c>
    </row>
    <row r="65" spans="1:18" x14ac:dyDescent="0.35">
      <c r="A65" s="3" t="s">
        <v>320</v>
      </c>
      <c r="B65" s="3" t="s">
        <v>19</v>
      </c>
      <c r="C65" s="3" t="s">
        <v>20</v>
      </c>
      <c r="D65" s="3" t="s">
        <v>21</v>
      </c>
      <c r="E65" s="3">
        <v>-155.23935234999999</v>
      </c>
      <c r="F65" s="3">
        <v>64.992177049999995</v>
      </c>
      <c r="G65" s="3" t="s">
        <v>321</v>
      </c>
      <c r="H65" s="3" t="s">
        <v>66</v>
      </c>
      <c r="I65" s="3" t="s">
        <v>300</v>
      </c>
      <c r="J65" s="4">
        <v>101</v>
      </c>
      <c r="K65" s="5">
        <v>31256</v>
      </c>
      <c r="L65" s="5"/>
      <c r="M65" s="6">
        <f t="shared" ref="M65:M70" si="3">K65-DATE(YEAR(K65),1,0)</f>
        <v>209</v>
      </c>
      <c r="N65" s="6"/>
      <c r="O65" s="3" t="s">
        <v>25</v>
      </c>
      <c r="P65" s="3" t="s">
        <v>26</v>
      </c>
      <c r="Q65" s="7" t="s">
        <v>38</v>
      </c>
      <c r="R65" s="3" t="s">
        <v>68</v>
      </c>
    </row>
    <row r="66" spans="1:18" x14ac:dyDescent="0.35">
      <c r="A66" s="3" t="s">
        <v>322</v>
      </c>
      <c r="B66" s="3" t="s">
        <v>19</v>
      </c>
      <c r="C66" s="3" t="s">
        <v>20</v>
      </c>
      <c r="D66" s="3" t="s">
        <v>21</v>
      </c>
      <c r="E66" s="3">
        <v>-151.24671907999999</v>
      </c>
      <c r="F66" s="3">
        <v>66.608443930000007</v>
      </c>
      <c r="G66" s="3" t="s">
        <v>323</v>
      </c>
      <c r="H66" s="3" t="s">
        <v>324</v>
      </c>
      <c r="I66" s="3" t="s">
        <v>325</v>
      </c>
      <c r="J66" s="4">
        <v>513</v>
      </c>
      <c r="K66" s="5">
        <v>27623</v>
      </c>
      <c r="L66" s="5"/>
      <c r="M66" s="6">
        <f t="shared" si="3"/>
        <v>229</v>
      </c>
      <c r="N66" s="6"/>
      <c r="O66" s="3" t="s">
        <v>25</v>
      </c>
      <c r="P66" s="3" t="s">
        <v>26</v>
      </c>
      <c r="Q66" s="7" t="s">
        <v>27</v>
      </c>
      <c r="R66" s="3" t="s">
        <v>326</v>
      </c>
    </row>
    <row r="67" spans="1:18" x14ac:dyDescent="0.35">
      <c r="A67" s="3" t="s">
        <v>327</v>
      </c>
      <c r="B67" s="3" t="s">
        <v>81</v>
      </c>
      <c r="C67" s="3" t="s">
        <v>20</v>
      </c>
      <c r="D67" s="3" t="s">
        <v>41</v>
      </c>
      <c r="E67" s="3">
        <v>-139.34736251000001</v>
      </c>
      <c r="F67" s="3">
        <v>66.527394849999993</v>
      </c>
      <c r="G67" s="3"/>
      <c r="H67" s="3" t="s">
        <v>328</v>
      </c>
      <c r="I67" s="3" t="s">
        <v>329</v>
      </c>
      <c r="J67" s="4">
        <f>85000+30000</f>
        <v>115000</v>
      </c>
      <c r="K67" s="5">
        <v>26218</v>
      </c>
      <c r="L67" s="8">
        <v>264</v>
      </c>
      <c r="M67" s="6">
        <f t="shared" si="3"/>
        <v>285</v>
      </c>
      <c r="N67" s="6">
        <f>L67-DATE(YEAR(L67),1,0)</f>
        <v>264</v>
      </c>
      <c r="O67" s="3" t="s">
        <v>25</v>
      </c>
      <c r="P67" s="3" t="s">
        <v>46</v>
      </c>
      <c r="Q67" s="7" t="s">
        <v>330</v>
      </c>
      <c r="R67" s="3" t="s">
        <v>331</v>
      </c>
    </row>
    <row r="68" spans="1:18" x14ac:dyDescent="0.35">
      <c r="A68" s="3" t="s">
        <v>332</v>
      </c>
      <c r="B68" s="3" t="s">
        <v>81</v>
      </c>
      <c r="C68" s="3" t="s">
        <v>20</v>
      </c>
      <c r="D68" s="3" t="s">
        <v>21</v>
      </c>
      <c r="E68" s="3">
        <v>-147.02487944999999</v>
      </c>
      <c r="F68" s="3">
        <v>64.390133939999998</v>
      </c>
      <c r="G68" s="3" t="s">
        <v>333</v>
      </c>
      <c r="H68" s="3" t="s">
        <v>334</v>
      </c>
      <c r="I68" s="3" t="s">
        <v>78</v>
      </c>
      <c r="J68" s="4">
        <v>25</v>
      </c>
      <c r="K68" s="5">
        <v>27313</v>
      </c>
      <c r="L68" s="5"/>
      <c r="M68" s="6">
        <f t="shared" si="3"/>
        <v>284</v>
      </c>
      <c r="N68" s="6"/>
      <c r="O68" s="3" t="s">
        <v>25</v>
      </c>
      <c r="P68" s="3" t="s">
        <v>26</v>
      </c>
      <c r="Q68" s="7" t="s">
        <v>85</v>
      </c>
      <c r="R68" s="3" t="s">
        <v>68</v>
      </c>
    </row>
    <row r="69" spans="1:18" x14ac:dyDescent="0.35">
      <c r="A69" s="3" t="s">
        <v>335</v>
      </c>
      <c r="B69" s="3" t="s">
        <v>19</v>
      </c>
      <c r="C69" s="3" t="s">
        <v>20</v>
      </c>
      <c r="D69" s="3" t="s">
        <v>21</v>
      </c>
      <c r="E69" s="3">
        <v>-146.07449075</v>
      </c>
      <c r="F69" s="3">
        <v>64.572573879999993</v>
      </c>
      <c r="G69" s="3" t="s">
        <v>336</v>
      </c>
      <c r="H69" s="3"/>
      <c r="I69" s="3" t="s">
        <v>337</v>
      </c>
      <c r="J69" s="4">
        <f>772+128</f>
        <v>900</v>
      </c>
      <c r="K69" s="5">
        <v>35654</v>
      </c>
      <c r="L69" s="5"/>
      <c r="M69" s="6">
        <f t="shared" si="3"/>
        <v>224</v>
      </c>
      <c r="N69" s="6"/>
      <c r="O69" s="3" t="s">
        <v>25</v>
      </c>
      <c r="P69" s="3" t="s">
        <v>26</v>
      </c>
      <c r="Q69" s="7" t="s">
        <v>79</v>
      </c>
      <c r="R69" s="3" t="s">
        <v>338</v>
      </c>
    </row>
    <row r="70" spans="1:18" x14ac:dyDescent="0.35">
      <c r="A70" s="3" t="s">
        <v>339</v>
      </c>
      <c r="B70" s="3" t="s">
        <v>19</v>
      </c>
      <c r="C70" s="3" t="s">
        <v>20</v>
      </c>
      <c r="D70" s="3" t="s">
        <v>21</v>
      </c>
      <c r="E70" s="3">
        <v>-155.31074194000001</v>
      </c>
      <c r="F70" s="3">
        <v>65.047348940000006</v>
      </c>
      <c r="G70" s="3" t="s">
        <v>340</v>
      </c>
      <c r="H70" s="3" t="s">
        <v>341</v>
      </c>
      <c r="I70" s="3" t="s">
        <v>342</v>
      </c>
      <c r="J70" s="4">
        <v>1835</v>
      </c>
      <c r="K70" s="5">
        <v>27604</v>
      </c>
      <c r="L70" s="5"/>
      <c r="M70" s="6">
        <f t="shared" si="3"/>
        <v>210</v>
      </c>
      <c r="N70" s="6"/>
      <c r="O70" s="3" t="s">
        <v>25</v>
      </c>
      <c r="P70" s="3" t="s">
        <v>26</v>
      </c>
      <c r="Q70" s="7" t="s">
        <v>38</v>
      </c>
      <c r="R70" s="3" t="s">
        <v>343</v>
      </c>
    </row>
    <row r="71" spans="1:18" x14ac:dyDescent="0.35">
      <c r="A71" s="3" t="s">
        <v>344</v>
      </c>
      <c r="B71" s="3" t="s">
        <v>19</v>
      </c>
      <c r="C71" s="3" t="s">
        <v>20</v>
      </c>
      <c r="D71" s="3" t="s">
        <v>21</v>
      </c>
      <c r="E71" s="3">
        <v>-147.05985133999999</v>
      </c>
      <c r="F71" s="3">
        <v>64.691286329999997</v>
      </c>
      <c r="G71" s="3" t="s">
        <v>345</v>
      </c>
      <c r="H71" s="3" t="s">
        <v>346</v>
      </c>
      <c r="I71" s="3" t="s">
        <v>347</v>
      </c>
      <c r="J71" s="4"/>
      <c r="K71" s="9"/>
      <c r="L71" s="5"/>
      <c r="M71" s="6"/>
      <c r="N71" s="6"/>
      <c r="O71" s="3" t="s">
        <v>25</v>
      </c>
      <c r="P71" s="3" t="s">
        <v>26</v>
      </c>
      <c r="Q71" s="7" t="s">
        <v>79</v>
      </c>
      <c r="R71" s="3" t="s">
        <v>348</v>
      </c>
    </row>
    <row r="72" spans="1:18" x14ac:dyDescent="0.35">
      <c r="A72" s="3" t="s">
        <v>349</v>
      </c>
      <c r="B72" s="3" t="s">
        <v>81</v>
      </c>
      <c r="C72" s="3" t="s">
        <v>20</v>
      </c>
      <c r="D72" s="3" t="s">
        <v>21</v>
      </c>
      <c r="E72" s="3">
        <v>-150.02383187000001</v>
      </c>
      <c r="F72" s="3">
        <v>64.147600690000004</v>
      </c>
      <c r="G72" s="3" t="s">
        <v>350</v>
      </c>
      <c r="H72" s="3" t="s">
        <v>351</v>
      </c>
      <c r="I72" s="3" t="s">
        <v>352</v>
      </c>
      <c r="J72" s="4">
        <v>10815</v>
      </c>
      <c r="K72" s="5">
        <v>29138</v>
      </c>
      <c r="L72" s="5"/>
      <c r="M72" s="6">
        <f t="shared" ref="M72:M81" si="4">K72-DATE(YEAR(K72),1,0)</f>
        <v>283</v>
      </c>
      <c r="N72" s="6"/>
      <c r="O72" s="3" t="s">
        <v>25</v>
      </c>
      <c r="P72" s="3" t="s">
        <v>26</v>
      </c>
      <c r="Q72" s="7" t="s">
        <v>85</v>
      </c>
      <c r="R72" s="3" t="s">
        <v>33</v>
      </c>
    </row>
    <row r="73" spans="1:18" x14ac:dyDescent="0.35">
      <c r="A73" s="3" t="s">
        <v>353</v>
      </c>
      <c r="B73" s="3" t="s">
        <v>19</v>
      </c>
      <c r="C73" s="3" t="s">
        <v>20</v>
      </c>
      <c r="D73" s="3" t="s">
        <v>41</v>
      </c>
      <c r="E73" s="3">
        <v>-158.27942236999999</v>
      </c>
      <c r="F73" s="3">
        <v>65.051607369999999</v>
      </c>
      <c r="G73" s="3" t="s">
        <v>354</v>
      </c>
      <c r="H73" s="3" t="s">
        <v>355</v>
      </c>
      <c r="I73" s="3" t="s">
        <v>356</v>
      </c>
      <c r="J73" s="4">
        <v>56904</v>
      </c>
      <c r="K73" s="5">
        <v>27599</v>
      </c>
      <c r="L73" s="8">
        <v>193</v>
      </c>
      <c r="M73" s="6">
        <f t="shared" si="4"/>
        <v>205</v>
      </c>
      <c r="N73" s="6">
        <f>L73-DATE(YEAR(L73),1,0)</f>
        <v>193</v>
      </c>
      <c r="O73" s="3" t="s">
        <v>25</v>
      </c>
      <c r="P73" s="3" t="s">
        <v>46</v>
      </c>
      <c r="Q73" s="7" t="s">
        <v>47</v>
      </c>
      <c r="R73" s="3" t="s">
        <v>357</v>
      </c>
    </row>
    <row r="74" spans="1:18" x14ac:dyDescent="0.35">
      <c r="A74" s="3" t="s">
        <v>358</v>
      </c>
      <c r="B74" s="3" t="s">
        <v>81</v>
      </c>
      <c r="C74" s="3" t="s">
        <v>20</v>
      </c>
      <c r="D74" s="3" t="s">
        <v>21</v>
      </c>
      <c r="E74" s="3">
        <v>-149.11017308000001</v>
      </c>
      <c r="F74" s="3">
        <v>64.390007060000002</v>
      </c>
      <c r="G74" s="3"/>
      <c r="H74" s="3" t="s">
        <v>359</v>
      </c>
      <c r="I74" s="3" t="s">
        <v>360</v>
      </c>
      <c r="J74" s="4">
        <v>80</v>
      </c>
      <c r="K74" s="5">
        <v>41577</v>
      </c>
      <c r="L74" s="8"/>
      <c r="M74" s="6">
        <f t="shared" si="4"/>
        <v>303</v>
      </c>
      <c r="N74" s="6"/>
      <c r="O74" s="3" t="s">
        <v>25</v>
      </c>
      <c r="P74" s="3" t="s">
        <v>26</v>
      </c>
      <c r="Q74" s="7" t="s">
        <v>85</v>
      </c>
      <c r="R74" s="3" t="s">
        <v>68</v>
      </c>
    </row>
    <row r="75" spans="1:18" x14ac:dyDescent="0.35">
      <c r="A75" s="3" t="s">
        <v>361</v>
      </c>
      <c r="B75" s="3" t="s">
        <v>75</v>
      </c>
      <c r="C75" s="3" t="s">
        <v>20</v>
      </c>
      <c r="D75" s="3" t="s">
        <v>21</v>
      </c>
      <c r="E75" s="3">
        <v>-145.0575508</v>
      </c>
      <c r="F75" s="3">
        <v>64.334363760000002</v>
      </c>
      <c r="G75" s="3" t="s">
        <v>362</v>
      </c>
      <c r="H75" s="3" t="s">
        <v>363</v>
      </c>
      <c r="I75" s="3" t="s">
        <v>364</v>
      </c>
      <c r="J75" s="4">
        <v>300</v>
      </c>
      <c r="K75" s="5">
        <v>37468</v>
      </c>
      <c r="L75" s="8"/>
      <c r="M75" s="6">
        <f t="shared" si="4"/>
        <v>212</v>
      </c>
      <c r="N75" s="6"/>
      <c r="O75" s="3" t="s">
        <v>25</v>
      </c>
      <c r="P75" s="3" t="s">
        <v>26</v>
      </c>
      <c r="Q75" s="7" t="s">
        <v>79</v>
      </c>
      <c r="R75" s="3" t="s">
        <v>365</v>
      </c>
    </row>
    <row r="76" spans="1:18" x14ac:dyDescent="0.35">
      <c r="A76" s="3" t="s">
        <v>366</v>
      </c>
      <c r="B76" s="3" t="s">
        <v>19</v>
      </c>
      <c r="C76" s="3" t="s">
        <v>20</v>
      </c>
      <c r="D76" s="3" t="s">
        <v>21</v>
      </c>
      <c r="E76" s="3">
        <v>-160.10002724</v>
      </c>
      <c r="F76" s="3">
        <v>62.914974409999999</v>
      </c>
      <c r="G76" s="3" t="s">
        <v>367</v>
      </c>
      <c r="H76" s="3" t="s">
        <v>98</v>
      </c>
      <c r="I76" s="3" t="s">
        <v>368</v>
      </c>
      <c r="J76" s="4">
        <f>525+617</f>
        <v>1142</v>
      </c>
      <c r="K76" s="5">
        <v>41122</v>
      </c>
      <c r="L76" s="8"/>
      <c r="M76" s="6">
        <f t="shared" si="4"/>
        <v>214</v>
      </c>
      <c r="N76" s="6"/>
      <c r="O76" s="3" t="s">
        <v>45</v>
      </c>
      <c r="P76" s="3" t="s">
        <v>26</v>
      </c>
      <c r="Q76" s="7" t="s">
        <v>38</v>
      </c>
      <c r="R76" s="3" t="s">
        <v>160</v>
      </c>
    </row>
    <row r="77" spans="1:18" x14ac:dyDescent="0.35">
      <c r="A77" s="3" t="s">
        <v>369</v>
      </c>
      <c r="B77" s="3" t="s">
        <v>19</v>
      </c>
      <c r="C77" s="3" t="s">
        <v>20</v>
      </c>
      <c r="D77" s="3" t="s">
        <v>21</v>
      </c>
      <c r="E77" s="3">
        <v>-161.09659045000001</v>
      </c>
      <c r="F77" s="3">
        <v>62.505643659999997</v>
      </c>
      <c r="G77" s="3" t="s">
        <v>370</v>
      </c>
      <c r="H77" s="3" t="s">
        <v>371</v>
      </c>
      <c r="I77" s="3" t="s">
        <v>372</v>
      </c>
      <c r="J77" s="4">
        <f>1593+1943</f>
        <v>3536</v>
      </c>
      <c r="K77" s="5">
        <v>42212</v>
      </c>
      <c r="L77" s="8"/>
      <c r="M77" s="6">
        <f t="shared" si="4"/>
        <v>208</v>
      </c>
      <c r="N77" s="6"/>
      <c r="O77" s="3" t="s">
        <v>45</v>
      </c>
      <c r="P77" s="3" t="s">
        <v>26</v>
      </c>
      <c r="Q77" s="7" t="s">
        <v>38</v>
      </c>
      <c r="R77" s="3" t="s">
        <v>33</v>
      </c>
    </row>
    <row r="78" spans="1:18" x14ac:dyDescent="0.35">
      <c r="A78" s="3" t="s">
        <v>373</v>
      </c>
      <c r="B78" s="3" t="s">
        <v>19</v>
      </c>
      <c r="C78" s="3" t="s">
        <v>20</v>
      </c>
      <c r="D78" s="3" t="s">
        <v>21</v>
      </c>
      <c r="E78" s="3">
        <v>-153.5241426</v>
      </c>
      <c r="F78" s="3">
        <v>66.971283099999994</v>
      </c>
      <c r="G78" s="3" t="s">
        <v>374</v>
      </c>
      <c r="H78" s="3" t="s">
        <v>375</v>
      </c>
      <c r="I78" s="3" t="s">
        <v>376</v>
      </c>
      <c r="J78" s="4">
        <f>195+16</f>
        <v>211</v>
      </c>
      <c r="K78" s="5">
        <v>33815</v>
      </c>
      <c r="L78" s="8"/>
      <c r="M78" s="6">
        <f t="shared" si="4"/>
        <v>212</v>
      </c>
      <c r="N78" s="6"/>
      <c r="O78" s="3" t="s">
        <v>25</v>
      </c>
      <c r="P78" s="3" t="s">
        <v>26</v>
      </c>
      <c r="Q78" s="7" t="s">
        <v>27</v>
      </c>
      <c r="R78" s="3" t="s">
        <v>33</v>
      </c>
    </row>
    <row r="79" spans="1:18" x14ac:dyDescent="0.35">
      <c r="A79" s="3" t="s">
        <v>377</v>
      </c>
      <c r="B79" s="3" t="s">
        <v>19</v>
      </c>
      <c r="C79" s="3" t="s">
        <v>20</v>
      </c>
      <c r="D79" s="3" t="s">
        <v>41</v>
      </c>
      <c r="E79" s="3">
        <v>-152.28648591999999</v>
      </c>
      <c r="F79" s="3">
        <v>66.693488590000001</v>
      </c>
      <c r="G79" s="3" t="s">
        <v>378</v>
      </c>
      <c r="H79" s="3" t="s">
        <v>379</v>
      </c>
      <c r="I79" s="3" t="s">
        <v>380</v>
      </c>
      <c r="J79" s="4">
        <f>20690+24415+267+357+582+235+11+0</f>
        <v>46557</v>
      </c>
      <c r="K79" s="5">
        <v>42214</v>
      </c>
      <c r="L79" s="8">
        <v>201</v>
      </c>
      <c r="M79" s="6">
        <f t="shared" si="4"/>
        <v>210</v>
      </c>
      <c r="N79" s="6">
        <f>L79-DATE(YEAR(L79),1,0)</f>
        <v>201</v>
      </c>
      <c r="O79" s="3" t="s">
        <v>25</v>
      </c>
      <c r="P79" s="3" t="s">
        <v>46</v>
      </c>
      <c r="Q79" s="7" t="s">
        <v>381</v>
      </c>
      <c r="R79" s="3" t="s">
        <v>382</v>
      </c>
    </row>
    <row r="80" spans="1:18" x14ac:dyDescent="0.35">
      <c r="A80" s="3" t="s">
        <v>383</v>
      </c>
      <c r="B80" s="3" t="s">
        <v>19</v>
      </c>
      <c r="C80" s="3" t="s">
        <v>20</v>
      </c>
      <c r="D80" s="3" t="s">
        <v>21</v>
      </c>
      <c r="E80" s="3">
        <v>-155.51879878</v>
      </c>
      <c r="F80" s="3">
        <v>66.139353360000001</v>
      </c>
      <c r="G80" s="3" t="s">
        <v>384</v>
      </c>
      <c r="H80" s="3" t="s">
        <v>385</v>
      </c>
      <c r="I80" s="3" t="s">
        <v>386</v>
      </c>
      <c r="J80" s="4">
        <f>727+62</f>
        <v>789</v>
      </c>
      <c r="K80" s="5">
        <v>35258</v>
      </c>
      <c r="L80" s="8"/>
      <c r="M80" s="6">
        <f t="shared" si="4"/>
        <v>194</v>
      </c>
      <c r="N80" s="6"/>
      <c r="O80" s="3" t="s">
        <v>25</v>
      </c>
      <c r="P80" s="3" t="s">
        <v>26</v>
      </c>
      <c r="Q80" s="7" t="s">
        <v>38</v>
      </c>
      <c r="R80" s="3" t="s">
        <v>387</v>
      </c>
    </row>
    <row r="81" spans="1:18" x14ac:dyDescent="0.35">
      <c r="A81" s="3" t="s">
        <v>388</v>
      </c>
      <c r="B81" s="3" t="s">
        <v>81</v>
      </c>
      <c r="C81" s="3" t="s">
        <v>20</v>
      </c>
      <c r="D81" s="3" t="s">
        <v>21</v>
      </c>
      <c r="E81" s="3">
        <v>-148.38865024</v>
      </c>
      <c r="F81" s="3">
        <v>66.669489089999999</v>
      </c>
      <c r="G81" s="3" t="s">
        <v>389</v>
      </c>
      <c r="H81" s="3" t="s">
        <v>390</v>
      </c>
      <c r="I81" s="3" t="s">
        <v>391</v>
      </c>
      <c r="J81" s="4">
        <f>927+38</f>
        <v>965</v>
      </c>
      <c r="K81" s="5">
        <v>40749</v>
      </c>
      <c r="L81" s="8"/>
      <c r="M81" s="6">
        <f t="shared" si="4"/>
        <v>206</v>
      </c>
      <c r="N81" s="6"/>
      <c r="O81" s="3" t="s">
        <v>25</v>
      </c>
      <c r="P81" s="3" t="s">
        <v>26</v>
      </c>
      <c r="Q81" s="7" t="s">
        <v>118</v>
      </c>
      <c r="R81" s="3" t="s">
        <v>392</v>
      </c>
    </row>
    <row r="82" spans="1:18" x14ac:dyDescent="0.35">
      <c r="A82" s="3" t="s">
        <v>393</v>
      </c>
      <c r="B82" s="3" t="s">
        <v>19</v>
      </c>
      <c r="C82" s="3" t="s">
        <v>20</v>
      </c>
      <c r="D82" s="3" t="s">
        <v>21</v>
      </c>
      <c r="E82" s="3">
        <v>-154.10745926000001</v>
      </c>
      <c r="F82" s="3">
        <v>66.70233202</v>
      </c>
      <c r="G82" s="3" t="s">
        <v>394</v>
      </c>
      <c r="H82" s="3"/>
      <c r="I82" s="3" t="s">
        <v>395</v>
      </c>
      <c r="J82" s="4"/>
      <c r="K82" s="9"/>
      <c r="L82" s="8"/>
      <c r="M82" s="6"/>
      <c r="N82" s="6"/>
      <c r="O82" s="3" t="s">
        <v>25</v>
      </c>
      <c r="P82" s="3" t="s">
        <v>26</v>
      </c>
      <c r="Q82" s="7" t="s">
        <v>38</v>
      </c>
      <c r="R82" s="3" t="s">
        <v>396</v>
      </c>
    </row>
    <row r="83" spans="1:18" x14ac:dyDescent="0.35">
      <c r="A83" s="3" t="s">
        <v>397</v>
      </c>
      <c r="B83" s="3" t="s">
        <v>19</v>
      </c>
      <c r="C83" s="3" t="s">
        <v>20</v>
      </c>
      <c r="D83" s="3" t="s">
        <v>21</v>
      </c>
      <c r="E83" s="3">
        <v>-154.30334001</v>
      </c>
      <c r="F83" s="3">
        <v>66.120459440000005</v>
      </c>
      <c r="G83" s="3" t="s">
        <v>398</v>
      </c>
      <c r="H83" s="3" t="s">
        <v>399</v>
      </c>
      <c r="I83" s="3" t="s">
        <v>400</v>
      </c>
      <c r="J83" s="4"/>
      <c r="K83" s="9"/>
      <c r="L83" s="8"/>
      <c r="M83" s="6"/>
      <c r="N83" s="6"/>
      <c r="O83" s="3" t="s">
        <v>25</v>
      </c>
      <c r="P83" s="3" t="s">
        <v>26</v>
      </c>
      <c r="Q83" s="7" t="s">
        <v>38</v>
      </c>
      <c r="R83" s="3" t="s">
        <v>174</v>
      </c>
    </row>
    <row r="84" spans="1:18" x14ac:dyDescent="0.35">
      <c r="A84" s="3" t="s">
        <v>401</v>
      </c>
      <c r="B84" s="3" t="s">
        <v>81</v>
      </c>
      <c r="C84" s="3" t="s">
        <v>20</v>
      </c>
      <c r="D84" s="3" t="s">
        <v>21</v>
      </c>
      <c r="E84" s="3">
        <v>-151.85174416999999</v>
      </c>
      <c r="F84" s="3">
        <v>63.444913819999996</v>
      </c>
      <c r="G84" s="3" t="s">
        <v>402</v>
      </c>
      <c r="H84" s="3" t="s">
        <v>403</v>
      </c>
      <c r="I84" s="3" t="s">
        <v>404</v>
      </c>
      <c r="J84" s="4">
        <v>200</v>
      </c>
      <c r="K84" s="5">
        <v>35332</v>
      </c>
      <c r="L84" s="8"/>
      <c r="M84" s="6">
        <f>K84-DATE(YEAR(K84),1,0)</f>
        <v>268</v>
      </c>
      <c r="N84" s="6"/>
      <c r="O84" s="3" t="s">
        <v>25</v>
      </c>
      <c r="P84" s="3" t="s">
        <v>26</v>
      </c>
      <c r="Q84" s="7" t="s">
        <v>85</v>
      </c>
      <c r="R84" s="3" t="s">
        <v>405</v>
      </c>
    </row>
    <row r="85" spans="1:18" x14ac:dyDescent="0.35">
      <c r="A85" s="3" t="s">
        <v>406</v>
      </c>
      <c r="B85" s="3" t="s">
        <v>19</v>
      </c>
      <c r="C85" s="3" t="s">
        <v>20</v>
      </c>
      <c r="D85" s="3" t="s">
        <v>21</v>
      </c>
      <c r="E85" s="3">
        <v>-158.0217246</v>
      </c>
      <c r="F85" s="3">
        <v>63.148682739999998</v>
      </c>
      <c r="G85" s="3" t="s">
        <v>407</v>
      </c>
      <c r="H85" s="3" t="s">
        <v>408</v>
      </c>
      <c r="I85" s="3" t="s">
        <v>78</v>
      </c>
      <c r="J85" s="4"/>
      <c r="K85" s="9"/>
      <c r="L85" s="8"/>
      <c r="M85" s="6"/>
      <c r="N85" s="6"/>
      <c r="O85" s="3" t="s">
        <v>45</v>
      </c>
      <c r="P85" s="3" t="s">
        <v>26</v>
      </c>
      <c r="Q85" s="7" t="s">
        <v>38</v>
      </c>
      <c r="R85" s="3" t="s">
        <v>218</v>
      </c>
    </row>
    <row r="86" spans="1:18" x14ac:dyDescent="0.35">
      <c r="A86" s="3" t="s">
        <v>409</v>
      </c>
      <c r="B86" s="3" t="s">
        <v>19</v>
      </c>
      <c r="C86" s="3" t="s">
        <v>20</v>
      </c>
      <c r="D86" s="3" t="s">
        <v>21</v>
      </c>
      <c r="E86" s="3">
        <v>-157.86739104</v>
      </c>
      <c r="F86" s="3">
        <v>64.025307600000005</v>
      </c>
      <c r="G86" s="3" t="s">
        <v>410</v>
      </c>
      <c r="H86" s="10" t="s">
        <v>411</v>
      </c>
      <c r="I86" s="3" t="s">
        <v>412</v>
      </c>
      <c r="J86" s="4">
        <v>9</v>
      </c>
      <c r="K86" s="5">
        <v>33459</v>
      </c>
      <c r="L86" s="8"/>
      <c r="M86" s="6">
        <f>K86-DATE(YEAR(K86),1,0)</f>
        <v>221</v>
      </c>
      <c r="N86" s="6"/>
      <c r="O86" s="3" t="s">
        <v>45</v>
      </c>
      <c r="P86" s="3" t="s">
        <v>26</v>
      </c>
      <c r="Q86" s="7" t="s">
        <v>38</v>
      </c>
      <c r="R86" s="3" t="s">
        <v>413</v>
      </c>
    </row>
    <row r="87" spans="1:18" x14ac:dyDescent="0.35">
      <c r="A87" s="3" t="s">
        <v>414</v>
      </c>
      <c r="B87" s="3" t="s">
        <v>19</v>
      </c>
      <c r="C87" s="3" t="s">
        <v>20</v>
      </c>
      <c r="D87" s="3" t="s">
        <v>21</v>
      </c>
      <c r="E87" s="3">
        <v>-153.08309498</v>
      </c>
      <c r="F87" s="3">
        <v>65.200508110000001</v>
      </c>
      <c r="G87" s="3" t="s">
        <v>415</v>
      </c>
      <c r="H87" s="3"/>
      <c r="I87" s="3"/>
      <c r="J87" s="4"/>
      <c r="K87" s="9"/>
      <c r="L87" s="8"/>
      <c r="M87" s="6"/>
      <c r="N87" s="6"/>
      <c r="O87" s="3" t="s">
        <v>25</v>
      </c>
      <c r="P87" s="3" t="s">
        <v>26</v>
      </c>
      <c r="Q87" s="7" t="s">
        <v>27</v>
      </c>
      <c r="R87" s="3" t="s">
        <v>174</v>
      </c>
    </row>
    <row r="88" spans="1:18" x14ac:dyDescent="0.35">
      <c r="A88" s="3" t="s">
        <v>416</v>
      </c>
      <c r="B88" s="3" t="s">
        <v>19</v>
      </c>
      <c r="C88" s="3" t="s">
        <v>20</v>
      </c>
      <c r="D88" s="3" t="s">
        <v>21</v>
      </c>
      <c r="E88" s="3">
        <v>-153.87086553</v>
      </c>
      <c r="F88" s="3">
        <v>65.892060330000007</v>
      </c>
      <c r="G88" s="3" t="s">
        <v>417</v>
      </c>
      <c r="H88" s="3" t="s">
        <v>418</v>
      </c>
      <c r="I88" s="3" t="s">
        <v>419</v>
      </c>
      <c r="J88" s="4">
        <f>16316+8517</f>
        <v>24833</v>
      </c>
      <c r="K88" s="5">
        <v>41115</v>
      </c>
      <c r="L88" s="8"/>
      <c r="M88" s="6">
        <f>K88-DATE(YEAR(K88),1,0)</f>
        <v>207</v>
      </c>
      <c r="N88" s="6"/>
      <c r="O88" s="3" t="s">
        <v>25</v>
      </c>
      <c r="P88" s="3" t="s">
        <v>26</v>
      </c>
      <c r="Q88" s="7" t="s">
        <v>38</v>
      </c>
      <c r="R88" s="3" t="s">
        <v>312</v>
      </c>
    </row>
    <row r="89" spans="1:18" x14ac:dyDescent="0.35">
      <c r="A89" s="3" t="s">
        <v>420</v>
      </c>
      <c r="B89" s="3" t="s">
        <v>19</v>
      </c>
      <c r="C89" s="3" t="s">
        <v>20</v>
      </c>
      <c r="D89" s="3" t="s">
        <v>21</v>
      </c>
      <c r="E89" s="3">
        <v>-153.12809171999999</v>
      </c>
      <c r="F89" s="3">
        <v>67.186478589999993</v>
      </c>
      <c r="G89" s="3" t="s">
        <v>421</v>
      </c>
      <c r="H89" s="3" t="s">
        <v>31</v>
      </c>
      <c r="I89" s="3" t="s">
        <v>422</v>
      </c>
      <c r="J89" s="4">
        <f>3504+71</f>
        <v>3575</v>
      </c>
      <c r="K89" s="5">
        <v>41126</v>
      </c>
      <c r="L89" s="8"/>
      <c r="M89" s="6">
        <f>K89-DATE(YEAR(K89),1,0)</f>
        <v>218</v>
      </c>
      <c r="N89" s="6"/>
      <c r="O89" s="3" t="s">
        <v>25</v>
      </c>
      <c r="P89" s="3" t="s">
        <v>26</v>
      </c>
      <c r="Q89" s="7" t="s">
        <v>27</v>
      </c>
      <c r="R89" s="3" t="s">
        <v>33</v>
      </c>
    </row>
    <row r="90" spans="1:18" x14ac:dyDescent="0.35">
      <c r="A90" s="3" t="s">
        <v>423</v>
      </c>
      <c r="B90" s="3" t="s">
        <v>19</v>
      </c>
      <c r="C90" s="3" t="s">
        <v>20</v>
      </c>
      <c r="D90" s="3" t="s">
        <v>21</v>
      </c>
      <c r="E90" s="3">
        <v>-153.73696684000001</v>
      </c>
      <c r="F90" s="3">
        <v>66.845872810000003</v>
      </c>
      <c r="G90" s="3" t="s">
        <v>424</v>
      </c>
      <c r="H90" s="3" t="s">
        <v>125</v>
      </c>
      <c r="I90" s="3" t="s">
        <v>217</v>
      </c>
      <c r="J90" s="4"/>
      <c r="K90" s="9"/>
      <c r="L90" s="8"/>
      <c r="M90" s="6"/>
      <c r="N90" s="6"/>
      <c r="O90" s="3" t="s">
        <v>25</v>
      </c>
      <c r="P90" s="3" t="s">
        <v>26</v>
      </c>
      <c r="Q90" s="7" t="s">
        <v>27</v>
      </c>
      <c r="R90" s="3" t="s">
        <v>218</v>
      </c>
    </row>
    <row r="91" spans="1:18" x14ac:dyDescent="0.35">
      <c r="A91" s="3" t="s">
        <v>425</v>
      </c>
      <c r="B91" s="3" t="s">
        <v>19</v>
      </c>
      <c r="C91" s="3" t="s">
        <v>20</v>
      </c>
      <c r="D91" s="3" t="s">
        <v>21</v>
      </c>
      <c r="E91" s="3">
        <v>-161.18256491</v>
      </c>
      <c r="F91" s="3">
        <v>62.658181929999998</v>
      </c>
      <c r="G91" s="3" t="s">
        <v>426</v>
      </c>
      <c r="H91" s="3" t="s">
        <v>427</v>
      </c>
      <c r="I91" s="3" t="s">
        <v>428</v>
      </c>
      <c r="J91" s="4">
        <f>28+37</f>
        <v>65</v>
      </c>
      <c r="K91" s="5">
        <v>40017</v>
      </c>
      <c r="L91" s="8"/>
      <c r="M91" s="6">
        <f>K91-DATE(YEAR(K91),1,0)</f>
        <v>204</v>
      </c>
      <c r="N91" s="6"/>
      <c r="O91" s="3" t="s">
        <v>45</v>
      </c>
      <c r="P91" s="3" t="s">
        <v>26</v>
      </c>
      <c r="Q91" s="7" t="s">
        <v>38</v>
      </c>
      <c r="R91" s="3" t="s">
        <v>33</v>
      </c>
    </row>
    <row r="92" spans="1:18" x14ac:dyDescent="0.35">
      <c r="A92" s="3" t="s">
        <v>429</v>
      </c>
      <c r="B92" s="3" t="s">
        <v>19</v>
      </c>
      <c r="C92" s="3" t="s">
        <v>20</v>
      </c>
      <c r="D92" s="3" t="s">
        <v>21</v>
      </c>
      <c r="E92" s="3">
        <v>-150.96317583000001</v>
      </c>
      <c r="F92" s="3">
        <v>66.759961439999998</v>
      </c>
      <c r="G92" s="3" t="s">
        <v>430</v>
      </c>
      <c r="H92" s="3" t="s">
        <v>431</v>
      </c>
      <c r="I92" s="3" t="s">
        <v>432</v>
      </c>
      <c r="J92" s="4">
        <v>1484</v>
      </c>
      <c r="K92" s="5">
        <v>27976</v>
      </c>
      <c r="L92" s="8"/>
      <c r="M92" s="6">
        <f>K92-DATE(YEAR(K92),1,0)</f>
        <v>217</v>
      </c>
      <c r="N92" s="6"/>
      <c r="O92" s="3" t="s">
        <v>25</v>
      </c>
      <c r="P92" s="3" t="s">
        <v>46</v>
      </c>
      <c r="Q92" s="7" t="s">
        <v>381</v>
      </c>
      <c r="R92" s="3" t="s">
        <v>433</v>
      </c>
    </row>
    <row r="93" spans="1:18" x14ac:dyDescent="0.35">
      <c r="A93" s="3" t="s">
        <v>434</v>
      </c>
      <c r="B93" s="3" t="s">
        <v>19</v>
      </c>
      <c r="C93" s="3" t="s">
        <v>20</v>
      </c>
      <c r="D93" s="3" t="s">
        <v>21</v>
      </c>
      <c r="E93" s="3">
        <v>-152.27019770000001</v>
      </c>
      <c r="F93" s="3">
        <v>67.17679631</v>
      </c>
      <c r="G93" s="3" t="s">
        <v>435</v>
      </c>
      <c r="H93" s="3" t="s">
        <v>436</v>
      </c>
      <c r="I93" s="3" t="s">
        <v>138</v>
      </c>
      <c r="J93" s="4"/>
      <c r="K93" s="9"/>
      <c r="L93" s="8"/>
      <c r="M93" s="6"/>
      <c r="N93" s="6"/>
      <c r="O93" s="3" t="s">
        <v>25</v>
      </c>
      <c r="P93" s="3" t="s">
        <v>26</v>
      </c>
      <c r="Q93" s="7" t="s">
        <v>27</v>
      </c>
      <c r="R93" s="3" t="s">
        <v>218</v>
      </c>
    </row>
    <row r="94" spans="1:18" x14ac:dyDescent="0.35">
      <c r="A94" s="3" t="s">
        <v>437</v>
      </c>
      <c r="B94" s="3" t="s">
        <v>19</v>
      </c>
      <c r="C94" s="3" t="s">
        <v>20</v>
      </c>
      <c r="D94" s="3" t="s">
        <v>21</v>
      </c>
      <c r="E94" s="3">
        <v>-161.36489868000001</v>
      </c>
      <c r="F94" s="3">
        <v>61.94509042</v>
      </c>
      <c r="G94" s="3" t="s">
        <v>438</v>
      </c>
      <c r="H94" s="3" t="s">
        <v>66</v>
      </c>
      <c r="I94" s="3" t="s">
        <v>439</v>
      </c>
      <c r="J94" s="4">
        <v>4500</v>
      </c>
      <c r="K94" s="5">
        <v>26503</v>
      </c>
      <c r="L94" s="8"/>
      <c r="M94" s="6">
        <f t="shared" ref="M94:M109" si="5">K94-DATE(YEAR(K94),1,0)</f>
        <v>205</v>
      </c>
      <c r="N94" s="6"/>
      <c r="O94" s="3" t="s">
        <v>45</v>
      </c>
      <c r="P94" s="3" t="s">
        <v>26</v>
      </c>
      <c r="Q94" s="7" t="s">
        <v>38</v>
      </c>
      <c r="R94" s="3" t="s">
        <v>440</v>
      </c>
    </row>
    <row r="95" spans="1:18" x14ac:dyDescent="0.35">
      <c r="A95" s="3" t="s">
        <v>441</v>
      </c>
      <c r="B95" s="3" t="s">
        <v>19</v>
      </c>
      <c r="C95" s="3" t="s">
        <v>20</v>
      </c>
      <c r="D95" s="3" t="s">
        <v>21</v>
      </c>
      <c r="E95" s="3">
        <v>-156.76310244000001</v>
      </c>
      <c r="F95" s="3">
        <v>64.543698719999995</v>
      </c>
      <c r="G95" s="3" t="s">
        <v>442</v>
      </c>
      <c r="H95" s="3" t="s">
        <v>443</v>
      </c>
      <c r="I95" s="3" t="s">
        <v>444</v>
      </c>
      <c r="J95" s="4">
        <v>3</v>
      </c>
      <c r="K95" s="5">
        <v>28334</v>
      </c>
      <c r="L95" s="8"/>
      <c r="M95" s="6">
        <f t="shared" si="5"/>
        <v>209</v>
      </c>
      <c r="N95" s="6"/>
      <c r="O95" s="3" t="s">
        <v>25</v>
      </c>
      <c r="P95" s="3" t="s">
        <v>26</v>
      </c>
      <c r="Q95" s="7" t="s">
        <v>38</v>
      </c>
      <c r="R95" s="3" t="s">
        <v>33</v>
      </c>
    </row>
    <row r="96" spans="1:18" x14ac:dyDescent="0.35">
      <c r="A96" s="3" t="s">
        <v>445</v>
      </c>
      <c r="B96" s="3" t="s">
        <v>19</v>
      </c>
      <c r="C96" s="3" t="s">
        <v>20</v>
      </c>
      <c r="D96" s="3" t="s">
        <v>21</v>
      </c>
      <c r="E96" s="3">
        <v>-158.84273295</v>
      </c>
      <c r="F96" s="3">
        <v>64.288140819999995</v>
      </c>
      <c r="G96" s="3" t="s">
        <v>446</v>
      </c>
      <c r="H96" s="3" t="s">
        <v>447</v>
      </c>
      <c r="I96" s="3" t="s">
        <v>448</v>
      </c>
      <c r="J96" s="4">
        <f>6234+675</f>
        <v>6909</v>
      </c>
      <c r="K96" s="5">
        <v>41112</v>
      </c>
      <c r="L96" s="8"/>
      <c r="M96" s="6">
        <f t="shared" si="5"/>
        <v>204</v>
      </c>
      <c r="N96" s="6"/>
      <c r="O96" s="3" t="s">
        <v>45</v>
      </c>
      <c r="P96" s="3" t="s">
        <v>46</v>
      </c>
      <c r="Q96" s="7" t="s">
        <v>47</v>
      </c>
      <c r="R96" s="3" t="s">
        <v>449</v>
      </c>
    </row>
    <row r="97" spans="1:18" x14ac:dyDescent="0.35">
      <c r="A97" s="3" t="s">
        <v>450</v>
      </c>
      <c r="B97" s="3" t="s">
        <v>81</v>
      </c>
      <c r="C97" s="3" t="s">
        <v>20</v>
      </c>
      <c r="D97" s="3" t="s">
        <v>21</v>
      </c>
      <c r="E97" s="3">
        <v>-141.56184454999999</v>
      </c>
      <c r="F97" s="3">
        <v>65.555443969999999</v>
      </c>
      <c r="G97" s="3" t="s">
        <v>451</v>
      </c>
      <c r="H97" s="3" t="s">
        <v>452</v>
      </c>
      <c r="I97" s="3" t="s">
        <v>67</v>
      </c>
      <c r="J97" s="4">
        <v>65</v>
      </c>
      <c r="K97" s="5">
        <v>35647</v>
      </c>
      <c r="L97" s="8"/>
      <c r="M97" s="6">
        <f t="shared" si="5"/>
        <v>217</v>
      </c>
      <c r="N97" s="6"/>
      <c r="O97" s="3" t="s">
        <v>25</v>
      </c>
      <c r="P97" s="3" t="s">
        <v>26</v>
      </c>
      <c r="Q97" s="7" t="s">
        <v>118</v>
      </c>
      <c r="R97" s="3" t="s">
        <v>68</v>
      </c>
    </row>
    <row r="98" spans="1:18" x14ac:dyDescent="0.35">
      <c r="A98" s="3" t="s">
        <v>453</v>
      </c>
      <c r="B98" s="3" t="s">
        <v>19</v>
      </c>
      <c r="C98" s="3" t="s">
        <v>20</v>
      </c>
      <c r="D98" s="3" t="s">
        <v>21</v>
      </c>
      <c r="E98" s="3">
        <v>-158.55155257000001</v>
      </c>
      <c r="F98" s="3">
        <v>65.364546349999998</v>
      </c>
      <c r="G98" s="3" t="s">
        <v>454</v>
      </c>
      <c r="H98" s="3" t="s">
        <v>455</v>
      </c>
      <c r="I98" s="3" t="s">
        <v>456</v>
      </c>
      <c r="J98" s="4">
        <f>5309+337</f>
        <v>5646</v>
      </c>
      <c r="K98" s="5">
        <v>41111</v>
      </c>
      <c r="L98" s="8"/>
      <c r="M98" s="6">
        <f t="shared" si="5"/>
        <v>203</v>
      </c>
      <c r="N98" s="6"/>
      <c r="O98" s="3" t="s">
        <v>25</v>
      </c>
      <c r="P98" s="3" t="s">
        <v>26</v>
      </c>
      <c r="Q98" s="7" t="s">
        <v>38</v>
      </c>
      <c r="R98" s="3" t="s">
        <v>457</v>
      </c>
    </row>
    <row r="99" spans="1:18" x14ac:dyDescent="0.35">
      <c r="A99" s="3" t="s">
        <v>458</v>
      </c>
      <c r="B99" s="3" t="s">
        <v>81</v>
      </c>
      <c r="C99" s="3" t="s">
        <v>20</v>
      </c>
      <c r="D99" s="3" t="s">
        <v>21</v>
      </c>
      <c r="E99" s="3">
        <v>-142.09723592</v>
      </c>
      <c r="F99" s="3">
        <v>66.584644389999994</v>
      </c>
      <c r="G99" s="3" t="s">
        <v>459</v>
      </c>
      <c r="H99" s="3" t="s">
        <v>460</v>
      </c>
      <c r="I99" s="3" t="s">
        <v>461</v>
      </c>
      <c r="J99" s="4">
        <f>1525+100</f>
        <v>1625</v>
      </c>
      <c r="K99" s="5">
        <v>27315</v>
      </c>
      <c r="L99" s="8"/>
      <c r="M99" s="6">
        <f t="shared" si="5"/>
        <v>286</v>
      </c>
      <c r="N99" s="6"/>
      <c r="O99" s="3" t="s">
        <v>25</v>
      </c>
      <c r="P99" s="3" t="s">
        <v>46</v>
      </c>
      <c r="Q99" s="7" t="s">
        <v>145</v>
      </c>
      <c r="R99" s="3" t="s">
        <v>462</v>
      </c>
    </row>
    <row r="100" spans="1:18" x14ac:dyDescent="0.35">
      <c r="A100" s="3" t="s">
        <v>463</v>
      </c>
      <c r="B100" s="3" t="s">
        <v>19</v>
      </c>
      <c r="C100" s="3" t="s">
        <v>20</v>
      </c>
      <c r="D100" s="3" t="s">
        <v>21</v>
      </c>
      <c r="E100" s="3">
        <v>-154.75358636000001</v>
      </c>
      <c r="F100" s="3">
        <v>66.456579590000004</v>
      </c>
      <c r="G100" s="3" t="s">
        <v>464</v>
      </c>
      <c r="H100" s="3" t="s">
        <v>465</v>
      </c>
      <c r="I100" s="3" t="s">
        <v>466</v>
      </c>
      <c r="J100" s="4">
        <f>3010+6450</f>
        <v>9460</v>
      </c>
      <c r="K100" s="5">
        <v>35258</v>
      </c>
      <c r="L100" s="8"/>
      <c r="M100" s="6">
        <f t="shared" si="5"/>
        <v>194</v>
      </c>
      <c r="N100" s="6"/>
      <c r="O100" s="3" t="s">
        <v>25</v>
      </c>
      <c r="P100" s="3" t="s">
        <v>26</v>
      </c>
      <c r="Q100" s="7" t="s">
        <v>38</v>
      </c>
      <c r="R100" s="3" t="s">
        <v>39</v>
      </c>
    </row>
    <row r="101" spans="1:18" x14ac:dyDescent="0.35">
      <c r="A101" s="3" t="s">
        <v>467</v>
      </c>
      <c r="B101" s="3" t="s">
        <v>81</v>
      </c>
      <c r="C101" s="3" t="s">
        <v>20</v>
      </c>
      <c r="D101" s="3" t="s">
        <v>21</v>
      </c>
      <c r="E101" s="3">
        <v>-138.86474242</v>
      </c>
      <c r="F101" s="3">
        <v>64.045636329999994</v>
      </c>
      <c r="G101" s="3"/>
      <c r="H101" s="3" t="s">
        <v>468</v>
      </c>
      <c r="I101" s="3" t="s">
        <v>469</v>
      </c>
      <c r="J101" s="4">
        <v>50</v>
      </c>
      <c r="K101" s="5">
        <v>26531</v>
      </c>
      <c r="L101" s="8"/>
      <c r="M101" s="6">
        <f t="shared" si="5"/>
        <v>233</v>
      </c>
      <c r="N101" s="6"/>
      <c r="O101" s="3" t="s">
        <v>128</v>
      </c>
      <c r="P101" s="3" t="s">
        <v>26</v>
      </c>
      <c r="Q101" s="7" t="s">
        <v>203</v>
      </c>
      <c r="R101" s="3" t="s">
        <v>470</v>
      </c>
    </row>
    <row r="102" spans="1:18" x14ac:dyDescent="0.35">
      <c r="A102" s="3" t="s">
        <v>471</v>
      </c>
      <c r="B102" s="3" t="s">
        <v>81</v>
      </c>
      <c r="C102" s="3" t="s">
        <v>20</v>
      </c>
      <c r="D102" s="3" t="s">
        <v>21</v>
      </c>
      <c r="E102" s="3">
        <v>-138.42930681999999</v>
      </c>
      <c r="F102" s="3">
        <v>61.150011370000001</v>
      </c>
      <c r="G102" s="3"/>
      <c r="H102" s="3" t="s">
        <v>472</v>
      </c>
      <c r="I102" s="3" t="s">
        <v>473</v>
      </c>
      <c r="J102" s="4">
        <v>30</v>
      </c>
      <c r="K102" s="5">
        <v>37543</v>
      </c>
      <c r="L102" s="8"/>
      <c r="M102" s="6">
        <f t="shared" si="5"/>
        <v>287</v>
      </c>
      <c r="N102" s="6"/>
      <c r="O102" s="3" t="s">
        <v>128</v>
      </c>
      <c r="P102" s="3" t="s">
        <v>26</v>
      </c>
      <c r="Q102" s="7" t="s">
        <v>474</v>
      </c>
      <c r="R102" s="3" t="s">
        <v>475</v>
      </c>
    </row>
    <row r="103" spans="1:18" x14ac:dyDescent="0.35">
      <c r="A103" s="3" t="s">
        <v>476</v>
      </c>
      <c r="B103" s="3" t="s">
        <v>81</v>
      </c>
      <c r="C103" s="3" t="s">
        <v>20</v>
      </c>
      <c r="D103" s="3" t="s">
        <v>41</v>
      </c>
      <c r="E103" s="3">
        <v>-139.22543782</v>
      </c>
      <c r="F103" s="3">
        <v>61.496396369999999</v>
      </c>
      <c r="G103" s="3"/>
      <c r="H103" s="3" t="s">
        <v>477</v>
      </c>
      <c r="I103" s="3" t="s">
        <v>478</v>
      </c>
      <c r="J103" s="4">
        <v>39347</v>
      </c>
      <c r="K103" s="5">
        <v>37914</v>
      </c>
      <c r="L103" s="8"/>
      <c r="M103" s="6">
        <f t="shared" si="5"/>
        <v>293</v>
      </c>
      <c r="N103" s="6"/>
      <c r="O103" s="3" t="s">
        <v>128</v>
      </c>
      <c r="P103" s="3" t="s">
        <v>46</v>
      </c>
      <c r="Q103" s="7" t="s">
        <v>295</v>
      </c>
      <c r="R103" s="3" t="s">
        <v>479</v>
      </c>
    </row>
    <row r="104" spans="1:18" x14ac:dyDescent="0.35">
      <c r="A104" s="3" t="s">
        <v>480</v>
      </c>
      <c r="B104" s="3" t="s">
        <v>81</v>
      </c>
      <c r="C104" s="3" t="s">
        <v>20</v>
      </c>
      <c r="D104" s="3" t="s">
        <v>21</v>
      </c>
      <c r="E104" s="3">
        <v>-140.21026734</v>
      </c>
      <c r="F104" s="3">
        <v>61.89217137</v>
      </c>
      <c r="G104" s="3"/>
      <c r="H104" s="3" t="s">
        <v>481</v>
      </c>
      <c r="I104" s="3" t="s">
        <v>482</v>
      </c>
      <c r="J104" s="4">
        <f>1200+100</f>
        <v>1300</v>
      </c>
      <c r="K104" s="5">
        <v>30972</v>
      </c>
      <c r="L104" s="8"/>
      <c r="M104" s="6">
        <f t="shared" si="5"/>
        <v>291</v>
      </c>
      <c r="N104" s="6"/>
      <c r="O104" s="3" t="s">
        <v>128</v>
      </c>
      <c r="P104" s="3" t="s">
        <v>26</v>
      </c>
      <c r="Q104" s="7" t="s">
        <v>474</v>
      </c>
      <c r="R104" s="3" t="s">
        <v>483</v>
      </c>
    </row>
    <row r="105" spans="1:18" x14ac:dyDescent="0.35">
      <c r="A105" s="3" t="s">
        <v>484</v>
      </c>
      <c r="B105" s="3" t="s">
        <v>19</v>
      </c>
      <c r="C105" s="3" t="s">
        <v>20</v>
      </c>
      <c r="D105" s="3" t="s">
        <v>21</v>
      </c>
      <c r="E105" s="3">
        <v>-150.80357825999999</v>
      </c>
      <c r="F105" s="3">
        <v>67.172360580000003</v>
      </c>
      <c r="G105" s="3" t="s">
        <v>485</v>
      </c>
      <c r="H105" s="3" t="s">
        <v>486</v>
      </c>
      <c r="I105" s="3" t="s">
        <v>487</v>
      </c>
      <c r="J105" s="4">
        <v>18</v>
      </c>
      <c r="K105" s="5">
        <v>31258</v>
      </c>
      <c r="L105" s="8"/>
      <c r="M105" s="6">
        <f t="shared" si="5"/>
        <v>211</v>
      </c>
      <c r="N105" s="6"/>
      <c r="O105" s="3" t="s">
        <v>25</v>
      </c>
      <c r="P105" s="3" t="s">
        <v>26</v>
      </c>
      <c r="Q105" s="7" t="s">
        <v>27</v>
      </c>
      <c r="R105" s="3" t="s">
        <v>33</v>
      </c>
    </row>
    <row r="106" spans="1:18" x14ac:dyDescent="0.35">
      <c r="A106" s="3" t="s">
        <v>488</v>
      </c>
      <c r="B106" s="3" t="s">
        <v>19</v>
      </c>
      <c r="C106" s="3" t="s">
        <v>20</v>
      </c>
      <c r="D106" s="3" t="s">
        <v>21</v>
      </c>
      <c r="E106" s="3">
        <v>-150.39257613000001</v>
      </c>
      <c r="F106" s="3">
        <v>67.008458689999998</v>
      </c>
      <c r="G106" s="3" t="s">
        <v>489</v>
      </c>
      <c r="H106" s="3" t="s">
        <v>490</v>
      </c>
      <c r="I106" s="3" t="s">
        <v>491</v>
      </c>
      <c r="J106" s="4">
        <f>9622+5004</f>
        <v>14626</v>
      </c>
      <c r="K106" s="5">
        <v>27611</v>
      </c>
      <c r="L106" s="8"/>
      <c r="M106" s="6">
        <f t="shared" si="5"/>
        <v>217</v>
      </c>
      <c r="N106" s="6"/>
      <c r="O106" s="3" t="s">
        <v>25</v>
      </c>
      <c r="P106" s="3" t="s">
        <v>46</v>
      </c>
      <c r="Q106" s="7" t="s">
        <v>381</v>
      </c>
      <c r="R106" s="3" t="s">
        <v>492</v>
      </c>
    </row>
    <row r="107" spans="1:18" x14ac:dyDescent="0.35">
      <c r="A107" s="3" t="s">
        <v>493</v>
      </c>
      <c r="B107" s="3" t="s">
        <v>19</v>
      </c>
      <c r="C107" s="3" t="s">
        <v>20</v>
      </c>
      <c r="D107" s="3" t="s">
        <v>21</v>
      </c>
      <c r="E107" s="3">
        <v>-154.33502869</v>
      </c>
      <c r="F107" s="3">
        <v>65.810340190000005</v>
      </c>
      <c r="G107" s="3" t="s">
        <v>494</v>
      </c>
      <c r="H107" s="3" t="s">
        <v>495</v>
      </c>
      <c r="I107" s="3" t="s">
        <v>496</v>
      </c>
      <c r="J107" s="4">
        <f>18+16</f>
        <v>34</v>
      </c>
      <c r="K107" s="5">
        <v>40750</v>
      </c>
      <c r="L107" s="8"/>
      <c r="M107" s="6">
        <f t="shared" si="5"/>
        <v>207</v>
      </c>
      <c r="N107" s="6"/>
      <c r="O107" s="3" t="s">
        <v>25</v>
      </c>
      <c r="P107" s="3" t="s">
        <v>26</v>
      </c>
      <c r="Q107" s="7" t="s">
        <v>38</v>
      </c>
      <c r="R107" s="3" t="s">
        <v>497</v>
      </c>
    </row>
    <row r="108" spans="1:18" x14ac:dyDescent="0.35">
      <c r="A108" s="3" t="s">
        <v>498</v>
      </c>
      <c r="B108" s="3" t="s">
        <v>19</v>
      </c>
      <c r="C108" s="3" t="s">
        <v>20</v>
      </c>
      <c r="D108" s="3" t="s">
        <v>21</v>
      </c>
      <c r="E108" s="3">
        <v>-161.25285986</v>
      </c>
      <c r="F108" s="3">
        <v>62.427969709999999</v>
      </c>
      <c r="G108" s="3" t="s">
        <v>499</v>
      </c>
      <c r="H108" s="3" t="s">
        <v>500</v>
      </c>
      <c r="I108" s="3" t="s">
        <v>501</v>
      </c>
      <c r="J108" s="4">
        <v>898</v>
      </c>
      <c r="K108" s="5">
        <v>43306</v>
      </c>
      <c r="L108" s="8"/>
      <c r="M108" s="6">
        <f t="shared" si="5"/>
        <v>206</v>
      </c>
      <c r="N108" s="6"/>
      <c r="O108" s="3" t="s">
        <v>45</v>
      </c>
      <c r="P108" s="3" t="s">
        <v>26</v>
      </c>
      <c r="Q108" s="7" t="s">
        <v>38</v>
      </c>
      <c r="R108" s="3" t="s">
        <v>33</v>
      </c>
    </row>
    <row r="109" spans="1:18" x14ac:dyDescent="0.35">
      <c r="A109" s="3" t="s">
        <v>502</v>
      </c>
      <c r="B109" s="3" t="s">
        <v>19</v>
      </c>
      <c r="C109" s="3" t="s">
        <v>20</v>
      </c>
      <c r="D109" s="3" t="s">
        <v>21</v>
      </c>
      <c r="E109" s="3">
        <v>-153.28169043</v>
      </c>
      <c r="F109" s="3">
        <v>65.552055609999996</v>
      </c>
      <c r="G109" s="3" t="s">
        <v>503</v>
      </c>
      <c r="H109" s="3" t="s">
        <v>504</v>
      </c>
      <c r="I109" s="3" t="s">
        <v>505</v>
      </c>
      <c r="J109" s="4">
        <v>2194</v>
      </c>
      <c r="K109" s="5">
        <v>40747</v>
      </c>
      <c r="L109" s="8"/>
      <c r="M109" s="6">
        <f t="shared" si="5"/>
        <v>204</v>
      </c>
      <c r="N109" s="6"/>
      <c r="O109" s="3" t="s">
        <v>25</v>
      </c>
      <c r="P109" s="3" t="s">
        <v>26</v>
      </c>
      <c r="Q109" s="7" t="s">
        <v>38</v>
      </c>
      <c r="R109" s="3" t="s">
        <v>506</v>
      </c>
    </row>
    <row r="110" spans="1:18" x14ac:dyDescent="0.35">
      <c r="A110" s="3" t="s">
        <v>507</v>
      </c>
      <c r="B110" s="3" t="s">
        <v>19</v>
      </c>
      <c r="C110" s="3" t="s">
        <v>20</v>
      </c>
      <c r="D110" s="3" t="s">
        <v>21</v>
      </c>
      <c r="E110" s="3">
        <v>-146.90485412999999</v>
      </c>
      <c r="F110" s="3">
        <v>64.523072769999999</v>
      </c>
      <c r="G110" s="3" t="s">
        <v>508</v>
      </c>
      <c r="H110" s="3"/>
      <c r="I110" s="3" t="s">
        <v>509</v>
      </c>
      <c r="J110" s="4"/>
      <c r="K110" s="9"/>
      <c r="L110" s="8"/>
      <c r="M110" s="6"/>
      <c r="N110" s="6"/>
      <c r="O110" s="3" t="s">
        <v>25</v>
      </c>
      <c r="P110" s="3" t="s">
        <v>26</v>
      </c>
      <c r="Q110" s="7" t="s">
        <v>79</v>
      </c>
      <c r="R110" s="3" t="s">
        <v>510</v>
      </c>
    </row>
    <row r="111" spans="1:18" x14ac:dyDescent="0.35">
      <c r="A111" s="3" t="s">
        <v>511</v>
      </c>
      <c r="B111" s="3" t="s">
        <v>81</v>
      </c>
      <c r="C111" s="3" t="s">
        <v>20</v>
      </c>
      <c r="D111" s="3" t="s">
        <v>21</v>
      </c>
      <c r="E111" s="3">
        <v>-149.14322073</v>
      </c>
      <c r="F111" s="3">
        <v>64.443328050000005</v>
      </c>
      <c r="G111" s="3" t="s">
        <v>512</v>
      </c>
      <c r="H111" s="3" t="s">
        <v>513</v>
      </c>
      <c r="I111" s="3" t="s">
        <v>514</v>
      </c>
      <c r="J111" s="4">
        <f>4986+1291+1078+29</f>
        <v>7384</v>
      </c>
      <c r="K111" s="5">
        <v>43031</v>
      </c>
      <c r="L111" s="8"/>
      <c r="M111" s="6">
        <f>K111-DATE(YEAR(K111),1,0)</f>
        <v>296</v>
      </c>
      <c r="N111" s="6"/>
      <c r="O111" s="3" t="s">
        <v>25</v>
      </c>
      <c r="P111" s="3" t="s">
        <v>26</v>
      </c>
      <c r="Q111" s="7" t="s">
        <v>85</v>
      </c>
      <c r="R111" s="3" t="s">
        <v>515</v>
      </c>
    </row>
    <row r="112" spans="1:18" x14ac:dyDescent="0.35">
      <c r="A112" s="3" t="s">
        <v>516</v>
      </c>
      <c r="B112" s="3" t="s">
        <v>19</v>
      </c>
      <c r="C112" s="3" t="s">
        <v>20</v>
      </c>
      <c r="D112" s="3" t="s">
        <v>21</v>
      </c>
      <c r="E112" s="3">
        <v>-150.16955913000001</v>
      </c>
      <c r="F112" s="3">
        <v>67.318757349999998</v>
      </c>
      <c r="G112" s="3" t="s">
        <v>517</v>
      </c>
      <c r="H112" s="3" t="s">
        <v>173</v>
      </c>
      <c r="I112" s="3" t="s">
        <v>518</v>
      </c>
      <c r="J112" s="4"/>
      <c r="K112" s="9"/>
      <c r="L112" s="8"/>
      <c r="M112" s="6"/>
      <c r="N112" s="6"/>
      <c r="O112" s="3" t="s">
        <v>25</v>
      </c>
      <c r="P112" s="3" t="s">
        <v>26</v>
      </c>
      <c r="Q112" s="7" t="s">
        <v>27</v>
      </c>
      <c r="R112" s="3" t="s">
        <v>218</v>
      </c>
    </row>
    <row r="113" spans="1:18" x14ac:dyDescent="0.35">
      <c r="A113" s="3" t="s">
        <v>519</v>
      </c>
      <c r="B113" s="3" t="s">
        <v>81</v>
      </c>
      <c r="C113" s="3" t="s">
        <v>20</v>
      </c>
      <c r="D113" s="3" t="s">
        <v>21</v>
      </c>
      <c r="E113" s="3">
        <v>-135.92960998999999</v>
      </c>
      <c r="F113" s="3">
        <v>63.633386139999999</v>
      </c>
      <c r="G113" s="3"/>
      <c r="H113" s="3" t="s">
        <v>520</v>
      </c>
      <c r="I113" s="3" t="s">
        <v>521</v>
      </c>
      <c r="J113" s="4">
        <v>50</v>
      </c>
      <c r="K113" s="9"/>
      <c r="L113" s="8"/>
      <c r="M113" s="6"/>
      <c r="N113" s="6"/>
      <c r="O113" s="3" t="s">
        <v>128</v>
      </c>
      <c r="P113" s="3" t="s">
        <v>26</v>
      </c>
      <c r="Q113" s="7" t="s">
        <v>203</v>
      </c>
      <c r="R113" s="3" t="s">
        <v>522</v>
      </c>
    </row>
    <row r="114" spans="1:18" x14ac:dyDescent="0.35">
      <c r="A114" s="3" t="s">
        <v>523</v>
      </c>
      <c r="B114" s="3" t="s">
        <v>19</v>
      </c>
      <c r="C114" s="3" t="s">
        <v>20</v>
      </c>
      <c r="D114" s="3" t="s">
        <v>21</v>
      </c>
      <c r="E114" s="3">
        <v>-160.18593831000001</v>
      </c>
      <c r="F114" s="3">
        <v>63.458953270000002</v>
      </c>
      <c r="G114" s="3" t="s">
        <v>524</v>
      </c>
      <c r="H114" s="3" t="s">
        <v>525</v>
      </c>
      <c r="I114" s="3" t="s">
        <v>526</v>
      </c>
      <c r="J114" s="4">
        <v>4465</v>
      </c>
      <c r="K114" s="5">
        <v>27598</v>
      </c>
      <c r="L114" s="8"/>
      <c r="M114" s="6">
        <f>K114-DATE(YEAR(K114),1,0)</f>
        <v>204</v>
      </c>
      <c r="N114" s="6"/>
      <c r="O114" s="3" t="s">
        <v>45</v>
      </c>
      <c r="P114" s="3" t="s">
        <v>26</v>
      </c>
      <c r="Q114" s="7" t="s">
        <v>38</v>
      </c>
      <c r="R114" s="3" t="s">
        <v>33</v>
      </c>
    </row>
    <row r="115" spans="1:18" x14ac:dyDescent="0.35">
      <c r="A115" s="3" t="s">
        <v>527</v>
      </c>
      <c r="B115" s="3" t="s">
        <v>75</v>
      </c>
      <c r="C115" s="3" t="s">
        <v>20</v>
      </c>
      <c r="D115" s="3" t="s">
        <v>21</v>
      </c>
      <c r="E115" s="3">
        <v>-147.49525446000001</v>
      </c>
      <c r="F115" s="3">
        <v>64.647807520000001</v>
      </c>
      <c r="G115" s="3" t="s">
        <v>528</v>
      </c>
      <c r="H115" s="3" t="s">
        <v>452</v>
      </c>
      <c r="I115" s="3" t="s">
        <v>529</v>
      </c>
      <c r="J115" s="4">
        <v>7</v>
      </c>
      <c r="K115" s="5">
        <v>38569</v>
      </c>
      <c r="L115" s="8"/>
      <c r="M115" s="6">
        <f>K115-DATE(YEAR(K115),1,0)</f>
        <v>217</v>
      </c>
      <c r="N115" s="6"/>
      <c r="O115" s="3" t="s">
        <v>25</v>
      </c>
      <c r="P115" s="3" t="s">
        <v>26</v>
      </c>
      <c r="Q115" s="7" t="s">
        <v>79</v>
      </c>
      <c r="R115" s="3" t="s">
        <v>33</v>
      </c>
    </row>
    <row r="116" spans="1:18" x14ac:dyDescent="0.35">
      <c r="A116" s="3" t="s">
        <v>530</v>
      </c>
      <c r="B116" s="3" t="s">
        <v>81</v>
      </c>
      <c r="C116" s="3" t="s">
        <v>20</v>
      </c>
      <c r="D116" s="3" t="s">
        <v>21</v>
      </c>
      <c r="E116" s="3">
        <v>-151.59823692000001</v>
      </c>
      <c r="F116" s="3">
        <v>63.815398479999999</v>
      </c>
      <c r="G116" s="3" t="s">
        <v>531</v>
      </c>
      <c r="H116" s="3" t="s">
        <v>532</v>
      </c>
      <c r="I116" s="3" t="s">
        <v>533</v>
      </c>
      <c r="J116" s="4">
        <f>150+150+150+100</f>
        <v>550</v>
      </c>
      <c r="K116" s="5">
        <v>35003</v>
      </c>
      <c r="L116" s="8"/>
      <c r="M116" s="6">
        <f>K116-DATE(YEAR(K116),1,0)</f>
        <v>304</v>
      </c>
      <c r="N116" s="6"/>
      <c r="O116" s="3" t="s">
        <v>25</v>
      </c>
      <c r="P116" s="3" t="s">
        <v>26</v>
      </c>
      <c r="Q116" s="7" t="s">
        <v>85</v>
      </c>
      <c r="R116" s="3" t="s">
        <v>405</v>
      </c>
    </row>
    <row r="117" spans="1:18" x14ac:dyDescent="0.35">
      <c r="A117" s="3" t="s">
        <v>534</v>
      </c>
      <c r="B117" s="3" t="s">
        <v>19</v>
      </c>
      <c r="C117" s="3" t="s">
        <v>20</v>
      </c>
      <c r="D117" s="3" t="s">
        <v>21</v>
      </c>
      <c r="E117" s="3">
        <v>-155.12592971999999</v>
      </c>
      <c r="F117" s="3">
        <v>66.083917029999995</v>
      </c>
      <c r="G117" s="3" t="s">
        <v>535</v>
      </c>
      <c r="H117" s="3" t="s">
        <v>536</v>
      </c>
      <c r="I117" s="3" t="s">
        <v>217</v>
      </c>
      <c r="J117" s="4"/>
      <c r="K117" s="9"/>
      <c r="L117" s="8"/>
      <c r="M117" s="6"/>
      <c r="N117" s="6"/>
      <c r="O117" s="3" t="s">
        <v>25</v>
      </c>
      <c r="P117" s="3" t="s">
        <v>26</v>
      </c>
      <c r="Q117" s="7" t="s">
        <v>38</v>
      </c>
      <c r="R117" s="3" t="s">
        <v>218</v>
      </c>
    </row>
    <row r="118" spans="1:18" x14ac:dyDescent="0.35">
      <c r="A118" s="3" t="s">
        <v>537</v>
      </c>
      <c r="B118" s="3" t="s">
        <v>81</v>
      </c>
      <c r="C118" s="3" t="s">
        <v>20</v>
      </c>
      <c r="D118" s="3" t="s">
        <v>21</v>
      </c>
      <c r="E118" s="3">
        <v>-136.78944540000001</v>
      </c>
      <c r="F118" s="3">
        <v>63.663122100000002</v>
      </c>
      <c r="G118" s="3"/>
      <c r="H118" s="3" t="s">
        <v>538</v>
      </c>
      <c r="I118" s="3" t="s">
        <v>395</v>
      </c>
      <c r="J118" s="4"/>
      <c r="K118" s="9"/>
      <c r="L118" s="8"/>
      <c r="M118" s="6"/>
      <c r="N118" s="6"/>
      <c r="O118" s="3" t="s">
        <v>128</v>
      </c>
      <c r="P118" s="3" t="s">
        <v>26</v>
      </c>
      <c r="Q118" s="7" t="s">
        <v>203</v>
      </c>
      <c r="R118" s="3" t="s">
        <v>539</v>
      </c>
    </row>
    <row r="119" spans="1:18" x14ac:dyDescent="0.35">
      <c r="A119" s="3" t="s">
        <v>540</v>
      </c>
      <c r="B119" s="3" t="s">
        <v>19</v>
      </c>
      <c r="C119" s="3" t="s">
        <v>20</v>
      </c>
      <c r="D119" s="3" t="s">
        <v>21</v>
      </c>
      <c r="E119" s="3">
        <v>-154.65730893</v>
      </c>
      <c r="F119" s="3">
        <v>65.167007749999996</v>
      </c>
      <c r="G119" s="3" t="s">
        <v>541</v>
      </c>
      <c r="H119" s="3" t="s">
        <v>542</v>
      </c>
      <c r="I119" s="3" t="s">
        <v>543</v>
      </c>
      <c r="J119" s="4">
        <f>4391+1881</f>
        <v>6272</v>
      </c>
      <c r="K119" s="5">
        <v>29431</v>
      </c>
      <c r="L119" s="8"/>
      <c r="M119" s="6">
        <f>K119-DATE(YEAR(K119),1,0)</f>
        <v>211</v>
      </c>
      <c r="N119" s="6"/>
      <c r="O119" s="3" t="s">
        <v>25</v>
      </c>
      <c r="P119" s="3" t="s">
        <v>46</v>
      </c>
      <c r="Q119" s="7" t="s">
        <v>47</v>
      </c>
      <c r="R119" s="3" t="s">
        <v>39</v>
      </c>
    </row>
    <row r="120" spans="1:18" x14ac:dyDescent="0.35">
      <c r="A120" s="3" t="s">
        <v>544</v>
      </c>
      <c r="B120" s="3" t="s">
        <v>19</v>
      </c>
      <c r="C120" s="3" t="s">
        <v>20</v>
      </c>
      <c r="D120" s="3" t="s">
        <v>21</v>
      </c>
      <c r="E120" s="3">
        <v>-153.12149421999999</v>
      </c>
      <c r="F120" s="3">
        <v>65.601686180000002</v>
      </c>
      <c r="G120" s="3" t="s">
        <v>545</v>
      </c>
      <c r="H120" s="3" t="s">
        <v>443</v>
      </c>
      <c r="I120" s="3" t="s">
        <v>217</v>
      </c>
      <c r="J120" s="4"/>
      <c r="K120" s="9"/>
      <c r="L120" s="8"/>
      <c r="M120" s="6"/>
      <c r="N120" s="6"/>
      <c r="O120" s="3" t="s">
        <v>25</v>
      </c>
      <c r="P120" s="3" t="s">
        <v>26</v>
      </c>
      <c r="Q120" s="7" t="s">
        <v>38</v>
      </c>
      <c r="R120" s="3" t="s">
        <v>218</v>
      </c>
    </row>
    <row r="121" spans="1:18" x14ac:dyDescent="0.35">
      <c r="A121" s="3" t="s">
        <v>546</v>
      </c>
      <c r="B121" s="3" t="s">
        <v>19</v>
      </c>
      <c r="C121" s="3" t="s">
        <v>20</v>
      </c>
      <c r="D121" s="3" t="s">
        <v>21</v>
      </c>
      <c r="E121" s="3">
        <v>-153.08914023</v>
      </c>
      <c r="F121" s="3">
        <v>66.259793239999993</v>
      </c>
      <c r="G121" s="3" t="s">
        <v>547</v>
      </c>
      <c r="H121" s="3" t="s">
        <v>548</v>
      </c>
      <c r="I121" s="3" t="s">
        <v>217</v>
      </c>
      <c r="J121" s="4"/>
      <c r="K121" s="9"/>
      <c r="L121" s="8"/>
      <c r="M121" s="6"/>
      <c r="N121" s="6"/>
      <c r="O121" s="3" t="s">
        <v>25</v>
      </c>
      <c r="P121" s="3" t="s">
        <v>26</v>
      </c>
      <c r="Q121" s="7" t="s">
        <v>27</v>
      </c>
      <c r="R121" s="3" t="s">
        <v>218</v>
      </c>
    </row>
    <row r="122" spans="1:18" x14ac:dyDescent="0.35">
      <c r="A122" s="3" t="s">
        <v>549</v>
      </c>
      <c r="B122" s="3" t="s">
        <v>19</v>
      </c>
      <c r="C122" s="3" t="s">
        <v>20</v>
      </c>
      <c r="D122" s="3" t="s">
        <v>21</v>
      </c>
      <c r="E122" s="3">
        <v>-152.70992118999999</v>
      </c>
      <c r="F122" s="3">
        <v>67.128348459999998</v>
      </c>
      <c r="G122" s="3" t="s">
        <v>550</v>
      </c>
      <c r="H122" s="3" t="s">
        <v>551</v>
      </c>
      <c r="I122" s="3" t="s">
        <v>552</v>
      </c>
      <c r="J122" s="4">
        <f>166+1</f>
        <v>167</v>
      </c>
      <c r="K122" s="5">
        <v>33815</v>
      </c>
      <c r="L122" s="8"/>
      <c r="M122" s="6">
        <f>K122-DATE(YEAR(K122),1,0)</f>
        <v>212</v>
      </c>
      <c r="N122" s="6"/>
      <c r="O122" s="3" t="s">
        <v>25</v>
      </c>
      <c r="P122" s="3" t="s">
        <v>26</v>
      </c>
      <c r="Q122" s="7" t="s">
        <v>27</v>
      </c>
      <c r="R122" s="3" t="s">
        <v>68</v>
      </c>
    </row>
    <row r="123" spans="1:18" x14ac:dyDescent="0.35">
      <c r="A123" s="3" t="s">
        <v>553</v>
      </c>
      <c r="B123" s="3" t="s">
        <v>81</v>
      </c>
      <c r="C123" s="3" t="s">
        <v>20</v>
      </c>
      <c r="D123" s="3" t="s">
        <v>21</v>
      </c>
      <c r="E123" s="3">
        <v>-140.57423435000001</v>
      </c>
      <c r="F123" s="3">
        <v>64.377915779999995</v>
      </c>
      <c r="G123" s="3"/>
      <c r="H123" s="3" t="s">
        <v>554</v>
      </c>
      <c r="I123" s="3" t="s">
        <v>270</v>
      </c>
      <c r="J123" s="4">
        <v>12</v>
      </c>
      <c r="K123" s="5">
        <v>34935</v>
      </c>
      <c r="L123" s="8"/>
      <c r="M123" s="6">
        <f>K123-DATE(YEAR(K123),1,0)</f>
        <v>236</v>
      </c>
      <c r="N123" s="6"/>
      <c r="O123" s="3" t="s">
        <v>128</v>
      </c>
      <c r="P123" s="3" t="s">
        <v>26</v>
      </c>
      <c r="Q123" s="7" t="s">
        <v>203</v>
      </c>
      <c r="R123" s="3" t="s">
        <v>555</v>
      </c>
    </row>
    <row r="124" spans="1:18" x14ac:dyDescent="0.35">
      <c r="A124" s="3" t="s">
        <v>556</v>
      </c>
      <c r="B124" s="3" t="s">
        <v>81</v>
      </c>
      <c r="C124" s="3" t="s">
        <v>20</v>
      </c>
      <c r="D124" s="3" t="s">
        <v>21</v>
      </c>
      <c r="E124" s="3">
        <v>-140.81621455999999</v>
      </c>
      <c r="F124" s="3">
        <v>63.998150260000003</v>
      </c>
      <c r="G124" s="3"/>
      <c r="H124" s="3"/>
      <c r="I124" s="3"/>
      <c r="J124" s="4"/>
      <c r="K124" s="9"/>
      <c r="L124" s="8"/>
      <c r="M124" s="6"/>
      <c r="N124" s="6"/>
      <c r="O124" s="3" t="s">
        <v>128</v>
      </c>
      <c r="P124" s="3" t="s">
        <v>26</v>
      </c>
      <c r="Q124" s="7" t="s">
        <v>203</v>
      </c>
      <c r="R124" s="3" t="s">
        <v>557</v>
      </c>
    </row>
    <row r="125" spans="1:18" x14ac:dyDescent="0.35">
      <c r="A125" s="3" t="s">
        <v>558</v>
      </c>
      <c r="B125" s="3" t="s">
        <v>559</v>
      </c>
      <c r="C125" s="3" t="s">
        <v>20</v>
      </c>
      <c r="D125" s="3" t="s">
        <v>21</v>
      </c>
      <c r="E125" s="3">
        <v>-150.10626495</v>
      </c>
      <c r="F125" s="3">
        <v>65.491539759999995</v>
      </c>
      <c r="G125" s="3" t="s">
        <v>560</v>
      </c>
      <c r="H125" s="3" t="s">
        <v>561</v>
      </c>
      <c r="I125" s="3" t="s">
        <v>562</v>
      </c>
      <c r="J125" s="4">
        <v>25</v>
      </c>
      <c r="K125" s="5">
        <v>21389</v>
      </c>
      <c r="L125" s="8"/>
      <c r="M125" s="6">
        <f>K125-DATE(YEAR(K125),1,0)</f>
        <v>204</v>
      </c>
      <c r="N125" s="6"/>
      <c r="O125" s="3" t="s">
        <v>25</v>
      </c>
      <c r="P125" s="3" t="s">
        <v>26</v>
      </c>
      <c r="Q125" s="7" t="s">
        <v>118</v>
      </c>
      <c r="R125" s="3" t="s">
        <v>563</v>
      </c>
    </row>
    <row r="126" spans="1:18" x14ac:dyDescent="0.35">
      <c r="A126" s="3" t="s">
        <v>564</v>
      </c>
      <c r="B126" s="3" t="s">
        <v>81</v>
      </c>
      <c r="C126" s="3" t="s">
        <v>20</v>
      </c>
      <c r="D126" s="3" t="s">
        <v>21</v>
      </c>
      <c r="E126" s="3">
        <v>-148.87620758</v>
      </c>
      <c r="F126" s="3">
        <v>63.837825680000002</v>
      </c>
      <c r="G126" s="3" t="s">
        <v>565</v>
      </c>
      <c r="H126" s="3" t="s">
        <v>536</v>
      </c>
      <c r="I126" s="3" t="s">
        <v>566</v>
      </c>
      <c r="J126" s="4"/>
      <c r="K126" s="9"/>
      <c r="L126" s="8"/>
      <c r="M126" s="6"/>
      <c r="N126" s="6"/>
      <c r="O126" s="3" t="s">
        <v>25</v>
      </c>
      <c r="P126" s="3" t="s">
        <v>26</v>
      </c>
      <c r="Q126" s="7" t="s">
        <v>85</v>
      </c>
      <c r="R126" s="3" t="s">
        <v>218</v>
      </c>
    </row>
    <row r="127" spans="1:18" x14ac:dyDescent="0.35">
      <c r="A127" s="3" t="s">
        <v>567</v>
      </c>
      <c r="B127" s="3" t="s">
        <v>81</v>
      </c>
      <c r="C127" s="3" t="s">
        <v>20</v>
      </c>
      <c r="D127" s="3" t="s">
        <v>21</v>
      </c>
      <c r="E127" s="3">
        <v>-150.97747738000001</v>
      </c>
      <c r="F127" s="3">
        <v>63.8573813</v>
      </c>
      <c r="G127" s="3" t="s">
        <v>568</v>
      </c>
      <c r="H127" s="3" t="s">
        <v>569</v>
      </c>
      <c r="I127" s="3" t="s">
        <v>570</v>
      </c>
      <c r="J127" s="4">
        <v>2996</v>
      </c>
      <c r="K127" s="5">
        <v>27322</v>
      </c>
      <c r="L127" s="8"/>
      <c r="M127" s="6">
        <f>K127-DATE(YEAR(K127),1,0)</f>
        <v>293</v>
      </c>
      <c r="N127" s="6"/>
      <c r="O127" s="3" t="s">
        <v>25</v>
      </c>
      <c r="P127" s="3" t="s">
        <v>26</v>
      </c>
      <c r="Q127" s="7" t="s">
        <v>85</v>
      </c>
      <c r="R127" s="3" t="s">
        <v>33</v>
      </c>
    </row>
    <row r="128" spans="1:18" x14ac:dyDescent="0.35">
      <c r="A128" s="3" t="s">
        <v>571</v>
      </c>
      <c r="B128" s="3" t="s">
        <v>559</v>
      </c>
      <c r="C128" s="3" t="s">
        <v>20</v>
      </c>
      <c r="D128" s="3" t="s">
        <v>21</v>
      </c>
      <c r="E128" s="3">
        <v>-150.68794086</v>
      </c>
      <c r="F128" s="3">
        <v>65.465685579999999</v>
      </c>
      <c r="G128" s="3" t="s">
        <v>572</v>
      </c>
      <c r="H128" s="3" t="s">
        <v>173</v>
      </c>
      <c r="I128" s="3" t="s">
        <v>138</v>
      </c>
      <c r="J128" s="4"/>
      <c r="K128" s="9"/>
      <c r="L128" s="8"/>
      <c r="M128" s="6"/>
      <c r="N128" s="6"/>
      <c r="O128" s="3" t="s">
        <v>25</v>
      </c>
      <c r="P128" s="3" t="s">
        <v>26</v>
      </c>
      <c r="Q128" s="7" t="s">
        <v>118</v>
      </c>
      <c r="R128" s="3" t="s">
        <v>218</v>
      </c>
    </row>
    <row r="129" spans="1:18" x14ac:dyDescent="0.35">
      <c r="A129" s="3" t="s">
        <v>573</v>
      </c>
      <c r="B129" s="3" t="s">
        <v>75</v>
      </c>
      <c r="C129" s="3" t="s">
        <v>20</v>
      </c>
      <c r="D129" s="3" t="s">
        <v>21</v>
      </c>
      <c r="E129" s="3">
        <v>-151.29204046000001</v>
      </c>
      <c r="F129" s="3">
        <v>65.288116270000003</v>
      </c>
      <c r="G129" s="3" t="s">
        <v>574</v>
      </c>
      <c r="H129" s="3" t="s">
        <v>575</v>
      </c>
      <c r="I129" s="3" t="s">
        <v>576</v>
      </c>
      <c r="J129" s="4">
        <f>10+25</f>
        <v>35</v>
      </c>
      <c r="K129" s="5">
        <v>28705</v>
      </c>
      <c r="L129" s="8"/>
      <c r="M129" s="6">
        <f t="shared" ref="M129:M136" si="6">K129-DATE(YEAR(K129),1,0)</f>
        <v>215</v>
      </c>
      <c r="N129" s="6"/>
      <c r="O129" s="3" t="s">
        <v>25</v>
      </c>
      <c r="P129" s="3" t="s">
        <v>26</v>
      </c>
      <c r="Q129" s="7" t="s">
        <v>27</v>
      </c>
      <c r="R129" s="3" t="s">
        <v>33</v>
      </c>
    </row>
    <row r="130" spans="1:18" x14ac:dyDescent="0.35">
      <c r="A130" s="3" t="s">
        <v>577</v>
      </c>
      <c r="B130" s="3" t="s">
        <v>19</v>
      </c>
      <c r="C130" s="3" t="s">
        <v>20</v>
      </c>
      <c r="D130" s="3" t="s">
        <v>21</v>
      </c>
      <c r="E130" s="3">
        <v>-161.49795391000001</v>
      </c>
      <c r="F130" s="3">
        <v>62.204583370000002</v>
      </c>
      <c r="G130" s="3" t="s">
        <v>578</v>
      </c>
      <c r="H130" s="3" t="s">
        <v>299</v>
      </c>
      <c r="I130" s="3" t="s">
        <v>487</v>
      </c>
      <c r="J130" s="4">
        <f>230+1011</f>
        <v>1241</v>
      </c>
      <c r="K130" s="5">
        <v>31258</v>
      </c>
      <c r="L130" s="8"/>
      <c r="M130" s="6">
        <f t="shared" si="6"/>
        <v>211</v>
      </c>
      <c r="N130" s="6"/>
      <c r="O130" s="3" t="s">
        <v>45</v>
      </c>
      <c r="P130" s="3" t="s">
        <v>26</v>
      </c>
      <c r="Q130" s="7" t="s">
        <v>38</v>
      </c>
      <c r="R130" s="3" t="s">
        <v>33</v>
      </c>
    </row>
    <row r="131" spans="1:18" x14ac:dyDescent="0.35">
      <c r="A131" s="3" t="s">
        <v>579</v>
      </c>
      <c r="B131" s="3" t="s">
        <v>81</v>
      </c>
      <c r="C131" s="3" t="s">
        <v>20</v>
      </c>
      <c r="D131" s="3" t="s">
        <v>21</v>
      </c>
      <c r="E131" s="3">
        <v>-142.08262565000001</v>
      </c>
      <c r="F131" s="3">
        <v>66.615061679999997</v>
      </c>
      <c r="G131" s="3" t="s">
        <v>459</v>
      </c>
      <c r="H131" s="3" t="s">
        <v>580</v>
      </c>
      <c r="I131" s="3" t="s">
        <v>581</v>
      </c>
      <c r="J131" s="4">
        <v>250</v>
      </c>
      <c r="K131" s="5">
        <v>31316</v>
      </c>
      <c r="L131" s="8"/>
      <c r="M131" s="6">
        <f t="shared" si="6"/>
        <v>269</v>
      </c>
      <c r="N131" s="6"/>
      <c r="O131" s="3" t="s">
        <v>25</v>
      </c>
      <c r="P131" s="3" t="s">
        <v>26</v>
      </c>
      <c r="Q131" s="7" t="s">
        <v>118</v>
      </c>
      <c r="R131" s="3" t="s">
        <v>582</v>
      </c>
    </row>
    <row r="132" spans="1:18" x14ac:dyDescent="0.35">
      <c r="A132" s="3" t="s">
        <v>583</v>
      </c>
      <c r="B132" s="3" t="s">
        <v>81</v>
      </c>
      <c r="C132" s="3" t="s">
        <v>20</v>
      </c>
      <c r="D132" s="3" t="s">
        <v>21</v>
      </c>
      <c r="E132" s="3">
        <v>-149.23224718</v>
      </c>
      <c r="F132" s="3">
        <v>64.499743969999997</v>
      </c>
      <c r="G132" s="3" t="s">
        <v>584</v>
      </c>
      <c r="H132" s="3" t="s">
        <v>585</v>
      </c>
      <c r="I132" s="3" t="s">
        <v>586</v>
      </c>
      <c r="J132" s="4">
        <v>366</v>
      </c>
      <c r="K132" s="5">
        <v>41495</v>
      </c>
      <c r="L132" s="8"/>
      <c r="M132" s="6">
        <f t="shared" si="6"/>
        <v>221</v>
      </c>
      <c r="N132" s="6"/>
      <c r="O132" s="3" t="s">
        <v>25</v>
      </c>
      <c r="P132" s="3" t="s">
        <v>26</v>
      </c>
      <c r="Q132" s="7" t="s">
        <v>85</v>
      </c>
      <c r="R132" s="3" t="s">
        <v>33</v>
      </c>
    </row>
    <row r="133" spans="1:18" x14ac:dyDescent="0.35">
      <c r="A133" s="3" t="s">
        <v>587</v>
      </c>
      <c r="B133" s="3" t="s">
        <v>81</v>
      </c>
      <c r="C133" s="3" t="s">
        <v>20</v>
      </c>
      <c r="D133" s="3" t="s">
        <v>21</v>
      </c>
      <c r="E133" s="3">
        <v>-149.21381423</v>
      </c>
      <c r="F133" s="3">
        <v>64.407118440000005</v>
      </c>
      <c r="G133" s="3" t="s">
        <v>588</v>
      </c>
      <c r="H133" s="3" t="s">
        <v>589</v>
      </c>
      <c r="I133" s="3" t="s">
        <v>590</v>
      </c>
      <c r="J133" s="4">
        <f>2168+1</f>
        <v>2169</v>
      </c>
      <c r="K133" s="5">
        <v>30606</v>
      </c>
      <c r="L133" s="8"/>
      <c r="M133" s="6">
        <f t="shared" si="6"/>
        <v>290</v>
      </c>
      <c r="N133" s="6"/>
      <c r="O133" s="3" t="s">
        <v>25</v>
      </c>
      <c r="P133" s="3" t="s">
        <v>46</v>
      </c>
      <c r="Q133" s="7" t="s">
        <v>169</v>
      </c>
      <c r="R133" s="3" t="s">
        <v>33</v>
      </c>
    </row>
    <row r="134" spans="1:18" x14ac:dyDescent="0.35">
      <c r="A134" s="3" t="s">
        <v>591</v>
      </c>
      <c r="B134" s="3" t="s">
        <v>19</v>
      </c>
      <c r="C134" s="3" t="s">
        <v>20</v>
      </c>
      <c r="D134" s="3" t="s">
        <v>21</v>
      </c>
      <c r="E134" s="3">
        <v>-158.49777947000001</v>
      </c>
      <c r="F134" s="3">
        <v>64.543831179999998</v>
      </c>
      <c r="G134" s="3" t="s">
        <v>592</v>
      </c>
      <c r="H134" s="3" t="s">
        <v>593</v>
      </c>
      <c r="I134" s="3" t="s">
        <v>594</v>
      </c>
      <c r="J134" s="4">
        <f>1082+140</f>
        <v>1222</v>
      </c>
      <c r="K134" s="5">
        <v>41114</v>
      </c>
      <c r="L134" s="8"/>
      <c r="M134" s="6">
        <f t="shared" si="6"/>
        <v>206</v>
      </c>
      <c r="N134" s="6"/>
      <c r="O134" s="3" t="s">
        <v>45</v>
      </c>
      <c r="P134" s="3" t="s">
        <v>26</v>
      </c>
      <c r="Q134" s="7" t="s">
        <v>38</v>
      </c>
      <c r="R134" s="3" t="s">
        <v>160</v>
      </c>
    </row>
    <row r="135" spans="1:18" x14ac:dyDescent="0.35">
      <c r="A135" s="3" t="s">
        <v>595</v>
      </c>
      <c r="B135" s="3" t="s">
        <v>19</v>
      </c>
      <c r="C135" s="3" t="s">
        <v>20</v>
      </c>
      <c r="D135" s="3" t="s">
        <v>41</v>
      </c>
      <c r="E135" s="3">
        <v>-159.02988196000001</v>
      </c>
      <c r="F135" s="3">
        <v>64.697884549999998</v>
      </c>
      <c r="G135" s="3" t="s">
        <v>596</v>
      </c>
      <c r="H135" s="3" t="s">
        <v>597</v>
      </c>
      <c r="I135" s="3" t="s">
        <v>598</v>
      </c>
      <c r="J135" s="4">
        <v>80090</v>
      </c>
      <c r="K135" s="5">
        <v>27599</v>
      </c>
      <c r="L135" s="8"/>
      <c r="M135" s="6">
        <f t="shared" si="6"/>
        <v>205</v>
      </c>
      <c r="N135" s="6"/>
      <c r="O135" s="3" t="s">
        <v>45</v>
      </c>
      <c r="P135" s="3" t="s">
        <v>46</v>
      </c>
      <c r="Q135" s="7" t="s">
        <v>47</v>
      </c>
      <c r="R135" s="3" t="s">
        <v>599</v>
      </c>
    </row>
    <row r="136" spans="1:18" x14ac:dyDescent="0.35">
      <c r="A136" s="3" t="s">
        <v>600</v>
      </c>
      <c r="B136" s="3" t="s">
        <v>19</v>
      </c>
      <c r="C136" s="3" t="s">
        <v>20</v>
      </c>
      <c r="D136" s="3" t="s">
        <v>21</v>
      </c>
      <c r="E136" s="3">
        <v>-158.46864672000001</v>
      </c>
      <c r="F136" s="3">
        <v>64.685858280000005</v>
      </c>
      <c r="G136" s="3" t="s">
        <v>601</v>
      </c>
      <c r="H136" s="3" t="s">
        <v>602</v>
      </c>
      <c r="I136" s="3" t="s">
        <v>603</v>
      </c>
      <c r="J136" s="4">
        <v>51215</v>
      </c>
      <c r="K136" s="5">
        <v>27599</v>
      </c>
      <c r="L136" s="8"/>
      <c r="M136" s="6">
        <f t="shared" si="6"/>
        <v>205</v>
      </c>
      <c r="N136" s="6"/>
      <c r="O136" s="3" t="s">
        <v>45</v>
      </c>
      <c r="P136" s="3" t="s">
        <v>46</v>
      </c>
      <c r="Q136" s="7" t="s">
        <v>47</v>
      </c>
      <c r="R136" s="3" t="s">
        <v>449</v>
      </c>
    </row>
    <row r="137" spans="1:18" x14ac:dyDescent="0.35">
      <c r="A137" s="3" t="s">
        <v>604</v>
      </c>
      <c r="B137" s="3" t="s">
        <v>81</v>
      </c>
      <c r="C137" s="3" t="s">
        <v>20</v>
      </c>
      <c r="D137" s="3" t="s">
        <v>21</v>
      </c>
      <c r="E137" s="3">
        <v>-140.93927914</v>
      </c>
      <c r="F137" s="3">
        <v>68.199139979999998</v>
      </c>
      <c r="G137" s="3"/>
      <c r="H137" s="3" t="s">
        <v>605</v>
      </c>
      <c r="I137" s="3" t="s">
        <v>606</v>
      </c>
      <c r="J137" s="4"/>
      <c r="K137" s="9"/>
      <c r="L137" s="8"/>
      <c r="M137" s="6"/>
      <c r="N137" s="6"/>
      <c r="O137" s="3" t="s">
        <v>128</v>
      </c>
      <c r="P137" s="3" t="s">
        <v>26</v>
      </c>
      <c r="Q137" s="7" t="s">
        <v>129</v>
      </c>
      <c r="R137" s="3" t="s">
        <v>607</v>
      </c>
    </row>
    <row r="138" spans="1:18" x14ac:dyDescent="0.35">
      <c r="A138" s="3" t="s">
        <v>608</v>
      </c>
      <c r="B138" s="3" t="s">
        <v>19</v>
      </c>
      <c r="C138" s="3" t="s">
        <v>20</v>
      </c>
      <c r="D138" s="3" t="s">
        <v>21</v>
      </c>
      <c r="E138" s="3">
        <v>-157.99073136000001</v>
      </c>
      <c r="F138" s="3">
        <v>62.456848950000001</v>
      </c>
      <c r="G138" s="3" t="s">
        <v>609</v>
      </c>
      <c r="H138" s="3" t="s">
        <v>408</v>
      </c>
      <c r="I138" s="3" t="s">
        <v>78</v>
      </c>
      <c r="J138" s="4"/>
      <c r="K138" s="9"/>
      <c r="L138" s="8"/>
      <c r="M138" s="6"/>
      <c r="N138" s="6"/>
      <c r="O138" s="3" t="s">
        <v>45</v>
      </c>
      <c r="P138" s="3" t="s">
        <v>26</v>
      </c>
      <c r="Q138" s="7" t="s">
        <v>38</v>
      </c>
      <c r="R138" s="3" t="s">
        <v>218</v>
      </c>
    </row>
    <row r="139" spans="1:18" x14ac:dyDescent="0.35">
      <c r="A139" s="3" t="s">
        <v>610</v>
      </c>
      <c r="B139" s="3" t="s">
        <v>19</v>
      </c>
      <c r="C139" s="3" t="s">
        <v>20</v>
      </c>
      <c r="D139" s="3" t="s">
        <v>21</v>
      </c>
      <c r="E139" s="3">
        <v>-160.81678195000001</v>
      </c>
      <c r="F139" s="3">
        <v>63.273626870000001</v>
      </c>
      <c r="G139" s="3" t="s">
        <v>611</v>
      </c>
      <c r="H139" s="3" t="s">
        <v>612</v>
      </c>
      <c r="I139" s="3" t="s">
        <v>613</v>
      </c>
      <c r="J139" s="4">
        <v>47645</v>
      </c>
      <c r="K139" s="5">
        <v>27598</v>
      </c>
      <c r="L139" s="8"/>
      <c r="M139" s="6">
        <f>K139-DATE(YEAR(K139),1,0)</f>
        <v>204</v>
      </c>
      <c r="N139" s="6"/>
      <c r="O139" s="3" t="s">
        <v>45</v>
      </c>
      <c r="P139" s="3" t="s">
        <v>46</v>
      </c>
      <c r="Q139" s="7" t="s">
        <v>47</v>
      </c>
      <c r="R139" s="3" t="s">
        <v>33</v>
      </c>
    </row>
    <row r="140" spans="1:18" x14ac:dyDescent="0.35">
      <c r="A140" s="3" t="s">
        <v>614</v>
      </c>
      <c r="B140" s="3" t="s">
        <v>19</v>
      </c>
      <c r="C140" s="3" t="s">
        <v>20</v>
      </c>
      <c r="D140" s="3" t="s">
        <v>21</v>
      </c>
      <c r="E140" s="3">
        <v>-160.2433484</v>
      </c>
      <c r="F140" s="3">
        <v>62.491807219999998</v>
      </c>
      <c r="G140" s="3" t="s">
        <v>615</v>
      </c>
      <c r="H140" s="3" t="s">
        <v>408</v>
      </c>
      <c r="I140" s="3" t="s">
        <v>616</v>
      </c>
      <c r="J140" s="4"/>
      <c r="K140" s="9"/>
      <c r="L140" s="8"/>
      <c r="M140" s="6"/>
      <c r="N140" s="6"/>
      <c r="O140" s="3" t="s">
        <v>45</v>
      </c>
      <c r="P140" s="3" t="s">
        <v>26</v>
      </c>
      <c r="Q140" s="7" t="s">
        <v>38</v>
      </c>
      <c r="R140" s="3" t="s">
        <v>174</v>
      </c>
    </row>
    <row r="141" spans="1:18" x14ac:dyDescent="0.35">
      <c r="A141" s="3" t="s">
        <v>617</v>
      </c>
      <c r="B141" s="3" t="s">
        <v>81</v>
      </c>
      <c r="C141" s="3" t="s">
        <v>20</v>
      </c>
      <c r="D141" s="3" t="s">
        <v>21</v>
      </c>
      <c r="E141" s="3">
        <v>-135.33441902999999</v>
      </c>
      <c r="F141" s="3">
        <v>62.776821470000002</v>
      </c>
      <c r="G141" s="3"/>
      <c r="H141" s="3" t="s">
        <v>137</v>
      </c>
      <c r="I141" s="3" t="s">
        <v>618</v>
      </c>
      <c r="J141" s="4"/>
      <c r="K141" s="9"/>
      <c r="L141" s="8"/>
      <c r="M141" s="6"/>
      <c r="N141" s="6"/>
      <c r="O141" s="3" t="s">
        <v>128</v>
      </c>
      <c r="P141" s="3" t="s">
        <v>46</v>
      </c>
      <c r="Q141" s="7" t="s">
        <v>139</v>
      </c>
      <c r="R141" s="3" t="s">
        <v>619</v>
      </c>
    </row>
    <row r="142" spans="1:18" x14ac:dyDescent="0.35">
      <c r="A142" s="3" t="s">
        <v>620</v>
      </c>
      <c r="B142" s="3" t="s">
        <v>19</v>
      </c>
      <c r="C142" s="3" t="s">
        <v>20</v>
      </c>
      <c r="D142" s="3" t="s">
        <v>21</v>
      </c>
      <c r="E142" s="3">
        <v>-154.28805542000001</v>
      </c>
      <c r="F142" s="3">
        <v>65.934800449999997</v>
      </c>
      <c r="G142" s="3" t="s">
        <v>621</v>
      </c>
      <c r="H142" s="3" t="s">
        <v>622</v>
      </c>
      <c r="I142" s="3" t="s">
        <v>217</v>
      </c>
      <c r="J142" s="4"/>
      <c r="K142" s="9"/>
      <c r="L142" s="8"/>
      <c r="M142" s="6"/>
      <c r="N142" s="6"/>
      <c r="O142" s="3" t="s">
        <v>25</v>
      </c>
      <c r="P142" s="3" t="s">
        <v>26</v>
      </c>
      <c r="Q142" s="7" t="s">
        <v>38</v>
      </c>
      <c r="R142" s="3" t="s">
        <v>218</v>
      </c>
    </row>
    <row r="143" spans="1:18" x14ac:dyDescent="0.35">
      <c r="A143" s="3" t="s">
        <v>623</v>
      </c>
      <c r="B143" s="3" t="s">
        <v>81</v>
      </c>
      <c r="C143" s="3" t="s">
        <v>20</v>
      </c>
      <c r="D143" s="3" t="s">
        <v>21</v>
      </c>
      <c r="E143" s="3">
        <v>-139.15487658000001</v>
      </c>
      <c r="F143" s="3">
        <v>67.546712029999995</v>
      </c>
      <c r="G143" s="3" t="s">
        <v>624</v>
      </c>
      <c r="H143" s="3" t="s">
        <v>625</v>
      </c>
      <c r="I143" s="3" t="s">
        <v>566</v>
      </c>
      <c r="J143" s="4"/>
      <c r="K143" s="9"/>
      <c r="L143" s="8"/>
      <c r="M143" s="6"/>
      <c r="N143" s="6"/>
      <c r="O143" s="3" t="s">
        <v>128</v>
      </c>
      <c r="P143" s="3" t="s">
        <v>46</v>
      </c>
      <c r="Q143" s="7" t="s">
        <v>330</v>
      </c>
      <c r="R143" s="3" t="s">
        <v>626</v>
      </c>
    </row>
    <row r="144" spans="1:18" x14ac:dyDescent="0.35">
      <c r="A144" s="3" t="s">
        <v>627</v>
      </c>
      <c r="B144" s="3" t="s">
        <v>19</v>
      </c>
      <c r="C144" s="3" t="s">
        <v>20</v>
      </c>
      <c r="D144" s="3" t="s">
        <v>21</v>
      </c>
      <c r="E144" s="3">
        <v>-163.00934760000001</v>
      </c>
      <c r="F144" s="3">
        <v>62.753484020000002</v>
      </c>
      <c r="G144" s="3" t="s">
        <v>628</v>
      </c>
      <c r="H144" s="3" t="s">
        <v>315</v>
      </c>
      <c r="I144" s="3" t="s">
        <v>316</v>
      </c>
      <c r="J144" s="4">
        <v>7</v>
      </c>
      <c r="K144" s="5">
        <v>45121</v>
      </c>
      <c r="L144" s="8"/>
      <c r="M144" s="6">
        <f>K144-DATE(YEAR(K144),1,0)</f>
        <v>195</v>
      </c>
      <c r="N144" s="6"/>
      <c r="O144" s="3" t="s">
        <v>45</v>
      </c>
      <c r="P144" s="3" t="s">
        <v>26</v>
      </c>
      <c r="Q144" s="7" t="s">
        <v>38</v>
      </c>
      <c r="R144" s="3" t="s">
        <v>33</v>
      </c>
    </row>
    <row r="145" spans="1:18" x14ac:dyDescent="0.35">
      <c r="A145" s="3" t="s">
        <v>629</v>
      </c>
      <c r="B145" s="3" t="s">
        <v>81</v>
      </c>
      <c r="C145" s="3" t="s">
        <v>20</v>
      </c>
      <c r="D145" s="3" t="s">
        <v>21</v>
      </c>
      <c r="E145" s="3">
        <v>-149.36368064000001</v>
      </c>
      <c r="F145" s="3">
        <v>64.439519300000001</v>
      </c>
      <c r="G145" s="3" t="s">
        <v>630</v>
      </c>
      <c r="H145" s="3" t="s">
        <v>631</v>
      </c>
      <c r="I145" s="3" t="s">
        <v>632</v>
      </c>
      <c r="J145" s="4"/>
      <c r="K145" s="9"/>
      <c r="L145" s="8"/>
      <c r="M145" s="6"/>
      <c r="N145" s="6"/>
      <c r="O145" s="3" t="s">
        <v>25</v>
      </c>
      <c r="P145" s="3" t="s">
        <v>26</v>
      </c>
      <c r="Q145" s="7" t="s">
        <v>85</v>
      </c>
      <c r="R145" s="3" t="s">
        <v>218</v>
      </c>
    </row>
    <row r="146" spans="1:18" x14ac:dyDescent="0.35">
      <c r="A146" s="3" t="s">
        <v>633</v>
      </c>
      <c r="B146" s="3" t="s">
        <v>19</v>
      </c>
      <c r="C146" s="3" t="s">
        <v>20</v>
      </c>
      <c r="D146" s="3" t="s">
        <v>21</v>
      </c>
      <c r="E146" s="3">
        <v>-150.0585773</v>
      </c>
      <c r="F146" s="3">
        <v>65.98616054</v>
      </c>
      <c r="G146" s="3" t="s">
        <v>634</v>
      </c>
      <c r="H146" s="3" t="s">
        <v>635</v>
      </c>
      <c r="I146" s="3" t="s">
        <v>67</v>
      </c>
      <c r="J146" s="4">
        <v>7</v>
      </c>
      <c r="K146" s="5">
        <v>35641</v>
      </c>
      <c r="L146" s="8"/>
      <c r="M146" s="6">
        <f>K146-DATE(YEAR(K146),1,0)</f>
        <v>211</v>
      </c>
      <c r="N146" s="6"/>
      <c r="O146" s="3" t="s">
        <v>25</v>
      </c>
      <c r="P146" s="3" t="s">
        <v>26</v>
      </c>
      <c r="Q146" s="7" t="s">
        <v>118</v>
      </c>
      <c r="R146" s="3" t="s">
        <v>218</v>
      </c>
    </row>
    <row r="147" spans="1:18" x14ac:dyDescent="0.35">
      <c r="A147" s="3" t="s">
        <v>636</v>
      </c>
      <c r="B147" s="3" t="s">
        <v>19</v>
      </c>
      <c r="C147" s="3" t="s">
        <v>20</v>
      </c>
      <c r="D147" s="3" t="s">
        <v>21</v>
      </c>
      <c r="E147" s="3">
        <v>-158.87969361</v>
      </c>
      <c r="F147" s="3">
        <v>62.332232589999997</v>
      </c>
      <c r="G147" s="3" t="s">
        <v>637</v>
      </c>
      <c r="H147" s="3" t="s">
        <v>638</v>
      </c>
      <c r="I147" s="3" t="s">
        <v>639</v>
      </c>
      <c r="J147" s="4"/>
      <c r="K147" s="9"/>
      <c r="L147" s="8"/>
      <c r="M147" s="6"/>
      <c r="N147" s="6"/>
      <c r="O147" s="3" t="s">
        <v>45</v>
      </c>
      <c r="P147" s="3" t="s">
        <v>26</v>
      </c>
      <c r="Q147" s="7" t="s">
        <v>38</v>
      </c>
      <c r="R147" s="3" t="s">
        <v>218</v>
      </c>
    </row>
    <row r="148" spans="1:18" x14ac:dyDescent="0.35">
      <c r="A148" s="3" t="s">
        <v>640</v>
      </c>
      <c r="B148" s="3" t="s">
        <v>81</v>
      </c>
      <c r="C148" s="3" t="s">
        <v>20</v>
      </c>
      <c r="D148" s="3" t="s">
        <v>21</v>
      </c>
      <c r="E148" s="3">
        <v>-146.19313955000001</v>
      </c>
      <c r="F148" s="3">
        <v>64.205369039999994</v>
      </c>
      <c r="G148" s="3" t="s">
        <v>641</v>
      </c>
      <c r="H148" s="3" t="s">
        <v>642</v>
      </c>
      <c r="I148" s="3" t="s">
        <v>643</v>
      </c>
      <c r="J148" s="4">
        <f>1250+600</f>
        <v>1850</v>
      </c>
      <c r="K148" s="5">
        <v>40492</v>
      </c>
      <c r="L148" s="8"/>
      <c r="M148" s="6">
        <f t="shared" ref="M148:M155" si="7">K148-DATE(YEAR(K148),1,0)</f>
        <v>314</v>
      </c>
      <c r="N148" s="6"/>
      <c r="O148" s="3" t="s">
        <v>25</v>
      </c>
      <c r="P148" s="3" t="s">
        <v>26</v>
      </c>
      <c r="Q148" s="7" t="s">
        <v>85</v>
      </c>
      <c r="R148" s="3" t="s">
        <v>644</v>
      </c>
    </row>
    <row r="149" spans="1:18" x14ac:dyDescent="0.35">
      <c r="A149" s="3" t="s">
        <v>645</v>
      </c>
      <c r="B149" s="3" t="s">
        <v>19</v>
      </c>
      <c r="C149" s="3" t="s">
        <v>20</v>
      </c>
      <c r="D149" s="3" t="s">
        <v>21</v>
      </c>
      <c r="E149" s="3">
        <v>-160.77801889</v>
      </c>
      <c r="F149" s="3">
        <v>62.935824599999997</v>
      </c>
      <c r="G149" s="3" t="s">
        <v>646</v>
      </c>
      <c r="H149" s="3" t="s">
        <v>647</v>
      </c>
      <c r="I149" s="3" t="s">
        <v>648</v>
      </c>
      <c r="J149" s="4">
        <v>1800</v>
      </c>
      <c r="K149" s="5">
        <v>27957</v>
      </c>
      <c r="L149" s="8"/>
      <c r="M149" s="6">
        <f t="shared" si="7"/>
        <v>198</v>
      </c>
      <c r="N149" s="6"/>
      <c r="O149" s="3" t="s">
        <v>45</v>
      </c>
      <c r="P149" s="3" t="s">
        <v>26</v>
      </c>
      <c r="Q149" s="7" t="s">
        <v>38</v>
      </c>
      <c r="R149" s="3" t="s">
        <v>33</v>
      </c>
    </row>
    <row r="150" spans="1:18" x14ac:dyDescent="0.35">
      <c r="A150" s="3" t="s">
        <v>649</v>
      </c>
      <c r="B150" s="3" t="s">
        <v>19</v>
      </c>
      <c r="C150" s="3" t="s">
        <v>20</v>
      </c>
      <c r="D150" s="3" t="s">
        <v>21</v>
      </c>
      <c r="E150" s="3">
        <v>-153.33213180000001</v>
      </c>
      <c r="F150" s="3">
        <v>66.962979140000002</v>
      </c>
      <c r="G150" s="3" t="s">
        <v>650</v>
      </c>
      <c r="H150" s="3" t="s">
        <v>651</v>
      </c>
      <c r="I150" s="3" t="s">
        <v>652</v>
      </c>
      <c r="J150" s="4">
        <v>141</v>
      </c>
      <c r="K150" s="5">
        <v>33815</v>
      </c>
      <c r="L150" s="8"/>
      <c r="M150" s="6">
        <f t="shared" si="7"/>
        <v>212</v>
      </c>
      <c r="N150" s="6"/>
      <c r="O150" s="3" t="s">
        <v>25</v>
      </c>
      <c r="P150" s="3" t="s">
        <v>26</v>
      </c>
      <c r="Q150" s="7" t="s">
        <v>27</v>
      </c>
      <c r="R150" s="3" t="s">
        <v>33</v>
      </c>
    </row>
    <row r="151" spans="1:18" x14ac:dyDescent="0.35">
      <c r="A151" s="3" t="s">
        <v>653</v>
      </c>
      <c r="B151" s="3" t="s">
        <v>19</v>
      </c>
      <c r="C151" s="3" t="s">
        <v>20</v>
      </c>
      <c r="D151" s="3" t="s">
        <v>21</v>
      </c>
      <c r="E151" s="3">
        <v>-158.90158431</v>
      </c>
      <c r="F151" s="3">
        <v>64.216455710000005</v>
      </c>
      <c r="G151" s="3" t="s">
        <v>654</v>
      </c>
      <c r="H151" s="3" t="s">
        <v>655</v>
      </c>
      <c r="I151" s="3" t="s">
        <v>656</v>
      </c>
      <c r="J151" s="4">
        <v>38258</v>
      </c>
      <c r="K151" s="5">
        <v>27959</v>
      </c>
      <c r="L151" s="8"/>
      <c r="M151" s="6">
        <f t="shared" si="7"/>
        <v>200</v>
      </c>
      <c r="N151" s="6"/>
      <c r="O151" s="3" t="s">
        <v>45</v>
      </c>
      <c r="P151" s="3" t="s">
        <v>46</v>
      </c>
      <c r="Q151" s="7" t="s">
        <v>47</v>
      </c>
      <c r="R151" s="3" t="s">
        <v>657</v>
      </c>
    </row>
    <row r="152" spans="1:18" x14ac:dyDescent="0.35">
      <c r="A152" s="3" t="s">
        <v>658</v>
      </c>
      <c r="B152" s="3" t="s">
        <v>19</v>
      </c>
      <c r="C152" s="3" t="s">
        <v>20</v>
      </c>
      <c r="D152" s="3" t="s">
        <v>41</v>
      </c>
      <c r="E152" s="3">
        <v>-146.43025039</v>
      </c>
      <c r="F152" s="3">
        <v>64.513217519999998</v>
      </c>
      <c r="G152" s="3" t="s">
        <v>659</v>
      </c>
      <c r="H152" s="3" t="s">
        <v>660</v>
      </c>
      <c r="I152" s="3" t="s">
        <v>661</v>
      </c>
      <c r="J152" s="4">
        <v>9810</v>
      </c>
      <c r="K152" s="5">
        <v>30901</v>
      </c>
      <c r="L152" s="8">
        <v>214</v>
      </c>
      <c r="M152" s="6">
        <f t="shared" si="7"/>
        <v>220</v>
      </c>
      <c r="N152" s="6">
        <f>L152-DATE(YEAR(L152),1,0)</f>
        <v>214</v>
      </c>
      <c r="O152" s="3" t="s">
        <v>25</v>
      </c>
      <c r="P152" s="3" t="s">
        <v>46</v>
      </c>
      <c r="Q152" s="7" t="s">
        <v>223</v>
      </c>
      <c r="R152" s="3" t="s">
        <v>662</v>
      </c>
    </row>
    <row r="153" spans="1:18" x14ac:dyDescent="0.35">
      <c r="A153" s="3" t="s">
        <v>663</v>
      </c>
      <c r="B153" s="3" t="s">
        <v>81</v>
      </c>
      <c r="C153" s="3" t="s">
        <v>20</v>
      </c>
      <c r="D153" s="3" t="s">
        <v>21</v>
      </c>
      <c r="E153" s="3">
        <v>-141.13914858000001</v>
      </c>
      <c r="F153" s="3">
        <v>67.0642225</v>
      </c>
      <c r="G153" s="3" t="s">
        <v>664</v>
      </c>
      <c r="H153" s="3" t="s">
        <v>665</v>
      </c>
      <c r="I153" s="3" t="s">
        <v>666</v>
      </c>
      <c r="J153" s="4">
        <v>350</v>
      </c>
      <c r="K153" s="5">
        <v>27664</v>
      </c>
      <c r="L153" s="8"/>
      <c r="M153" s="6">
        <f t="shared" si="7"/>
        <v>270</v>
      </c>
      <c r="N153" s="6"/>
      <c r="O153" s="3" t="s">
        <v>25</v>
      </c>
      <c r="P153" s="3" t="s">
        <v>26</v>
      </c>
      <c r="Q153" s="7" t="s">
        <v>118</v>
      </c>
      <c r="R153" s="3" t="s">
        <v>667</v>
      </c>
    </row>
    <row r="154" spans="1:18" x14ac:dyDescent="0.35">
      <c r="A154" s="3" t="s">
        <v>668</v>
      </c>
      <c r="B154" s="3" t="s">
        <v>81</v>
      </c>
      <c r="C154" s="3" t="s">
        <v>20</v>
      </c>
      <c r="D154" s="3" t="s">
        <v>41</v>
      </c>
      <c r="E154" s="3">
        <v>-144.17350504999999</v>
      </c>
      <c r="F154" s="3">
        <v>67.335387280000006</v>
      </c>
      <c r="G154" s="3" t="s">
        <v>669</v>
      </c>
      <c r="H154" s="3" t="s">
        <v>670</v>
      </c>
      <c r="I154" s="3" t="s">
        <v>671</v>
      </c>
      <c r="J154" s="4">
        <f>76060+2000</f>
        <v>78060</v>
      </c>
      <c r="K154" s="5">
        <v>27675</v>
      </c>
      <c r="L154" s="8">
        <v>256</v>
      </c>
      <c r="M154" s="6">
        <f t="shared" si="7"/>
        <v>281</v>
      </c>
      <c r="N154" s="6">
        <f>L154-DATE(YEAR(L154),1,0)</f>
        <v>256</v>
      </c>
      <c r="O154" s="3" t="s">
        <v>25</v>
      </c>
      <c r="P154" s="3" t="s">
        <v>46</v>
      </c>
      <c r="Q154" s="7" t="s">
        <v>145</v>
      </c>
      <c r="R154" s="3" t="s">
        <v>672</v>
      </c>
    </row>
    <row r="155" spans="1:18" x14ac:dyDescent="0.35">
      <c r="A155" s="3" t="s">
        <v>673</v>
      </c>
      <c r="B155" s="3" t="s">
        <v>81</v>
      </c>
      <c r="C155" s="3" t="s">
        <v>20</v>
      </c>
      <c r="D155" s="3" t="s">
        <v>21</v>
      </c>
      <c r="E155" s="3">
        <v>-141.74784518999999</v>
      </c>
      <c r="F155" s="3">
        <v>62.224060770000001</v>
      </c>
      <c r="G155" s="3"/>
      <c r="H155" s="3" t="s">
        <v>674</v>
      </c>
      <c r="I155" s="3" t="s">
        <v>675</v>
      </c>
      <c r="J155" s="4">
        <v>50</v>
      </c>
      <c r="K155" s="5">
        <v>28446</v>
      </c>
      <c r="L155" s="8"/>
      <c r="M155" s="6">
        <f t="shared" si="7"/>
        <v>321</v>
      </c>
      <c r="N155" s="6"/>
      <c r="O155" s="3" t="s">
        <v>25</v>
      </c>
      <c r="P155" s="3" t="s">
        <v>26</v>
      </c>
      <c r="Q155" s="7" t="s">
        <v>85</v>
      </c>
      <c r="R155" s="3" t="s">
        <v>68</v>
      </c>
    </row>
    <row r="156" spans="1:18" x14ac:dyDescent="0.35">
      <c r="A156" s="3" t="s">
        <v>676</v>
      </c>
      <c r="B156" s="3" t="s">
        <v>19</v>
      </c>
      <c r="C156" s="3" t="s">
        <v>20</v>
      </c>
      <c r="D156" s="3" t="s">
        <v>21</v>
      </c>
      <c r="E156" s="3">
        <v>-159.22877840999999</v>
      </c>
      <c r="F156" s="3">
        <v>63.387532100000001</v>
      </c>
      <c r="G156" s="3" t="s">
        <v>677</v>
      </c>
      <c r="H156" s="3"/>
      <c r="I156" s="3" t="s">
        <v>199</v>
      </c>
      <c r="J156" s="4"/>
      <c r="K156" s="9"/>
      <c r="L156" s="8"/>
      <c r="M156" s="6"/>
      <c r="N156" s="6"/>
      <c r="O156" s="3" t="s">
        <v>45</v>
      </c>
      <c r="P156" s="3" t="s">
        <v>26</v>
      </c>
      <c r="Q156" s="7" t="s">
        <v>38</v>
      </c>
      <c r="R156" s="3" t="s">
        <v>174</v>
      </c>
    </row>
    <row r="157" spans="1:18" x14ac:dyDescent="0.35">
      <c r="A157" s="3" t="s">
        <v>678</v>
      </c>
      <c r="B157" s="3" t="s">
        <v>19</v>
      </c>
      <c r="C157" s="3" t="s">
        <v>20</v>
      </c>
      <c r="D157" s="3" t="s">
        <v>21</v>
      </c>
      <c r="E157" s="3">
        <v>-159.79765270999999</v>
      </c>
      <c r="F157" s="3">
        <v>63.184935420000002</v>
      </c>
      <c r="G157" s="3" t="s">
        <v>679</v>
      </c>
      <c r="H157" s="3" t="s">
        <v>680</v>
      </c>
      <c r="I157" s="3" t="s">
        <v>681</v>
      </c>
      <c r="J157" s="4">
        <f>3632+640</f>
        <v>4272</v>
      </c>
      <c r="K157" s="5">
        <v>28686</v>
      </c>
      <c r="L157" s="8"/>
      <c r="M157" s="6">
        <f>K157-DATE(YEAR(K157),1,0)</f>
        <v>196</v>
      </c>
      <c r="N157" s="6"/>
      <c r="O157" s="3" t="s">
        <v>45</v>
      </c>
      <c r="P157" s="3" t="s">
        <v>26</v>
      </c>
      <c r="Q157" s="7" t="s">
        <v>38</v>
      </c>
      <c r="R157" s="3" t="s">
        <v>160</v>
      </c>
    </row>
    <row r="158" spans="1:18" x14ac:dyDescent="0.35">
      <c r="A158" s="3" t="s">
        <v>682</v>
      </c>
      <c r="B158" s="3" t="s">
        <v>19</v>
      </c>
      <c r="C158" s="3" t="s">
        <v>20</v>
      </c>
      <c r="D158" s="3" t="s">
        <v>21</v>
      </c>
      <c r="E158" s="3">
        <v>-153.01730302999999</v>
      </c>
      <c r="F158" s="3">
        <v>66.729644390000004</v>
      </c>
      <c r="G158" s="3" t="s">
        <v>683</v>
      </c>
      <c r="H158" s="3" t="s">
        <v>684</v>
      </c>
      <c r="I158" s="3" t="s">
        <v>685</v>
      </c>
      <c r="J158" s="4">
        <v>710</v>
      </c>
      <c r="K158" s="5">
        <v>25415</v>
      </c>
      <c r="L158" s="8"/>
      <c r="M158" s="6">
        <f>K158-DATE(YEAR(K158),1,0)</f>
        <v>212</v>
      </c>
      <c r="N158" s="6"/>
      <c r="O158" s="3" t="s">
        <v>25</v>
      </c>
      <c r="P158" s="3" t="s">
        <v>26</v>
      </c>
      <c r="Q158" s="7" t="s">
        <v>27</v>
      </c>
      <c r="R158" s="3" t="s">
        <v>33</v>
      </c>
    </row>
    <row r="159" spans="1:18" x14ac:dyDescent="0.35">
      <c r="A159" s="3" t="s">
        <v>686</v>
      </c>
      <c r="B159" s="3" t="s">
        <v>19</v>
      </c>
      <c r="C159" s="3" t="s">
        <v>20</v>
      </c>
      <c r="D159" s="3" t="s">
        <v>21</v>
      </c>
      <c r="E159" s="3">
        <v>-153.33760862</v>
      </c>
      <c r="F159" s="3">
        <v>66.690152159999997</v>
      </c>
      <c r="G159" s="3" t="s">
        <v>687</v>
      </c>
      <c r="H159" s="3" t="s">
        <v>688</v>
      </c>
      <c r="I159" s="3" t="s">
        <v>400</v>
      </c>
      <c r="J159" s="4"/>
      <c r="K159" s="9"/>
      <c r="L159" s="8"/>
      <c r="M159" s="6"/>
      <c r="N159" s="6"/>
      <c r="O159" s="3" t="s">
        <v>25</v>
      </c>
      <c r="P159" s="3" t="s">
        <v>26</v>
      </c>
      <c r="Q159" s="7" t="s">
        <v>27</v>
      </c>
      <c r="R159" s="3" t="s">
        <v>174</v>
      </c>
    </row>
    <row r="160" spans="1:18" x14ac:dyDescent="0.35">
      <c r="A160" s="3" t="s">
        <v>689</v>
      </c>
      <c r="B160" s="3" t="s">
        <v>81</v>
      </c>
      <c r="C160" s="3" t="s">
        <v>20</v>
      </c>
      <c r="D160" s="3" t="s">
        <v>21</v>
      </c>
      <c r="E160" s="3">
        <v>-140.19185178000001</v>
      </c>
      <c r="F160" s="3">
        <v>63.77883112</v>
      </c>
      <c r="G160" s="3"/>
      <c r="H160" s="3"/>
      <c r="I160" s="3"/>
      <c r="J160" s="4"/>
      <c r="K160" s="9"/>
      <c r="L160" s="8"/>
      <c r="M160" s="6"/>
      <c r="N160" s="6"/>
      <c r="O160" s="3" t="s">
        <v>128</v>
      </c>
      <c r="P160" s="3" t="s">
        <v>26</v>
      </c>
      <c r="Q160" s="7" t="s">
        <v>203</v>
      </c>
      <c r="R160" s="3" t="s">
        <v>557</v>
      </c>
    </row>
    <row r="161" spans="1:18" x14ac:dyDescent="0.35">
      <c r="A161" s="3" t="s">
        <v>690</v>
      </c>
      <c r="B161" s="3" t="s">
        <v>19</v>
      </c>
      <c r="C161" s="3" t="s">
        <v>20</v>
      </c>
      <c r="D161" s="3" t="s">
        <v>21</v>
      </c>
      <c r="E161" s="3">
        <v>-161.91078207000001</v>
      </c>
      <c r="F161" s="3">
        <v>61.783211479999999</v>
      </c>
      <c r="G161" s="3"/>
      <c r="H161" s="3" t="s">
        <v>173</v>
      </c>
      <c r="I161" s="3" t="s">
        <v>691</v>
      </c>
      <c r="J161" s="4">
        <f>5+41</f>
        <v>46</v>
      </c>
      <c r="K161" s="5">
        <v>21038</v>
      </c>
      <c r="L161" s="8"/>
      <c r="M161" s="6">
        <f>K161-DATE(YEAR(K161),1,0)</f>
        <v>218</v>
      </c>
      <c r="N161" s="6"/>
      <c r="O161" s="3" t="s">
        <v>45</v>
      </c>
      <c r="P161" s="3" t="s">
        <v>26</v>
      </c>
      <c r="Q161" s="7" t="s">
        <v>38</v>
      </c>
      <c r="R161" s="3" t="s">
        <v>692</v>
      </c>
    </row>
    <row r="162" spans="1:18" x14ac:dyDescent="0.35">
      <c r="A162" s="3" t="s">
        <v>693</v>
      </c>
      <c r="B162" s="3" t="s">
        <v>559</v>
      </c>
      <c r="C162" s="3" t="s">
        <v>20</v>
      </c>
      <c r="D162" s="3" t="s">
        <v>21</v>
      </c>
      <c r="E162" s="3">
        <v>-150.29807811000001</v>
      </c>
      <c r="F162" s="3">
        <v>65.535094319999999</v>
      </c>
      <c r="G162" s="3" t="s">
        <v>694</v>
      </c>
      <c r="H162" s="3" t="s">
        <v>173</v>
      </c>
      <c r="I162" s="3" t="s">
        <v>78</v>
      </c>
      <c r="J162" s="4">
        <v>2</v>
      </c>
      <c r="K162" s="5">
        <v>27247</v>
      </c>
      <c r="L162" s="8"/>
      <c r="M162" s="6">
        <f>K162-DATE(YEAR(K162),1,0)</f>
        <v>218</v>
      </c>
      <c r="N162" s="6"/>
      <c r="O162" s="3" t="s">
        <v>25</v>
      </c>
      <c r="P162" s="3" t="s">
        <v>26</v>
      </c>
      <c r="Q162" s="7" t="s">
        <v>118</v>
      </c>
      <c r="R162" s="3" t="s">
        <v>33</v>
      </c>
    </row>
    <row r="163" spans="1:18" x14ac:dyDescent="0.35">
      <c r="A163" s="3" t="s">
        <v>695</v>
      </c>
      <c r="B163" s="3" t="s">
        <v>19</v>
      </c>
      <c r="C163" s="3" t="s">
        <v>20</v>
      </c>
      <c r="D163" s="3" t="s">
        <v>21</v>
      </c>
      <c r="E163" s="3">
        <v>-159.07475561999999</v>
      </c>
      <c r="F163" s="3">
        <v>64.009999649999997</v>
      </c>
      <c r="G163" s="3" t="s">
        <v>696</v>
      </c>
      <c r="H163" s="3" t="s">
        <v>697</v>
      </c>
      <c r="I163" s="3" t="s">
        <v>698</v>
      </c>
      <c r="J163" s="4">
        <f>6847+1471</f>
        <v>8318</v>
      </c>
      <c r="K163" s="5">
        <v>41112</v>
      </c>
      <c r="L163" s="8"/>
      <c r="M163" s="6">
        <f>K163-DATE(YEAR(K163),1,0)</f>
        <v>204</v>
      </c>
      <c r="N163" s="6"/>
      <c r="O163" s="3" t="s">
        <v>45</v>
      </c>
      <c r="P163" s="3" t="s">
        <v>26</v>
      </c>
      <c r="Q163" s="7" t="s">
        <v>38</v>
      </c>
      <c r="R163" s="3" t="s">
        <v>699</v>
      </c>
    </row>
    <row r="164" spans="1:18" x14ac:dyDescent="0.35">
      <c r="A164" s="3" t="s">
        <v>700</v>
      </c>
      <c r="B164" s="3" t="s">
        <v>19</v>
      </c>
      <c r="C164" s="3" t="s">
        <v>20</v>
      </c>
      <c r="D164" s="3" t="s">
        <v>21</v>
      </c>
      <c r="E164" s="3">
        <v>-160.72138304000001</v>
      </c>
      <c r="F164" s="3">
        <v>62.258290250000002</v>
      </c>
      <c r="G164" s="3" t="s">
        <v>701</v>
      </c>
      <c r="H164" s="3" t="s">
        <v>702</v>
      </c>
      <c r="I164" s="3" t="s">
        <v>703</v>
      </c>
      <c r="J164" s="4">
        <v>3145</v>
      </c>
      <c r="K164" s="5">
        <v>26141</v>
      </c>
      <c r="L164" s="8"/>
      <c r="M164" s="6">
        <f>K164-DATE(YEAR(K164),1,0)</f>
        <v>208</v>
      </c>
      <c r="N164" s="6"/>
      <c r="O164" s="3" t="s">
        <v>45</v>
      </c>
      <c r="P164" s="3" t="s">
        <v>26</v>
      </c>
      <c r="Q164" s="7" t="s">
        <v>38</v>
      </c>
      <c r="R164" s="3" t="s">
        <v>39</v>
      </c>
    </row>
    <row r="165" spans="1:18" x14ac:dyDescent="0.35">
      <c r="A165" s="3" t="s">
        <v>704</v>
      </c>
      <c r="B165" s="3" t="s">
        <v>81</v>
      </c>
      <c r="C165" s="3" t="s">
        <v>20</v>
      </c>
      <c r="D165" s="3" t="s">
        <v>21</v>
      </c>
      <c r="E165" s="3">
        <v>-149.88176591000001</v>
      </c>
      <c r="F165" s="3">
        <v>64.07769768</v>
      </c>
      <c r="G165" s="3" t="s">
        <v>705</v>
      </c>
      <c r="H165" s="3" t="s">
        <v>706</v>
      </c>
      <c r="I165" s="3" t="s">
        <v>707</v>
      </c>
      <c r="J165" s="4">
        <f>13526+7944</f>
        <v>21470</v>
      </c>
      <c r="K165" s="5">
        <v>34627</v>
      </c>
      <c r="L165" s="8"/>
      <c r="M165" s="6">
        <f>K165-DATE(YEAR(K165),1,0)</f>
        <v>293</v>
      </c>
      <c r="N165" s="6"/>
      <c r="O165" s="3" t="s">
        <v>25</v>
      </c>
      <c r="P165" s="3" t="s">
        <v>46</v>
      </c>
      <c r="Q165" s="7" t="s">
        <v>169</v>
      </c>
      <c r="R165" s="3" t="s">
        <v>708</v>
      </c>
    </row>
    <row r="166" spans="1:18" x14ac:dyDescent="0.35">
      <c r="A166" s="3" t="s">
        <v>709</v>
      </c>
      <c r="B166" s="3" t="s">
        <v>81</v>
      </c>
      <c r="C166" s="3" t="s">
        <v>20</v>
      </c>
      <c r="D166" s="3" t="s">
        <v>21</v>
      </c>
      <c r="E166" s="3">
        <v>-139.41045800000001</v>
      </c>
      <c r="F166" s="3">
        <v>61.597863619999998</v>
      </c>
      <c r="G166" s="3"/>
      <c r="H166" s="3" t="s">
        <v>137</v>
      </c>
      <c r="I166" s="3" t="s">
        <v>710</v>
      </c>
      <c r="J166" s="4"/>
      <c r="K166" s="5"/>
      <c r="L166" s="8"/>
      <c r="M166" s="6"/>
      <c r="N166" s="6"/>
      <c r="O166" s="3" t="s">
        <v>128</v>
      </c>
      <c r="P166" s="3" t="s">
        <v>26</v>
      </c>
      <c r="Q166" s="7" t="s">
        <v>474</v>
      </c>
      <c r="R166" s="3" t="s">
        <v>711</v>
      </c>
    </row>
    <row r="167" spans="1:18" x14ac:dyDescent="0.35">
      <c r="A167" s="3" t="s">
        <v>712</v>
      </c>
      <c r="B167" s="3" t="s">
        <v>19</v>
      </c>
      <c r="C167" s="3" t="s">
        <v>20</v>
      </c>
      <c r="D167" s="3" t="s">
        <v>21</v>
      </c>
      <c r="E167" s="3">
        <v>-160.90840924</v>
      </c>
      <c r="F167" s="3">
        <v>63.150181250000003</v>
      </c>
      <c r="G167" s="3" t="s">
        <v>713</v>
      </c>
      <c r="H167" s="3" t="s">
        <v>714</v>
      </c>
      <c r="I167" s="3" t="s">
        <v>715</v>
      </c>
      <c r="J167" s="4">
        <v>47800</v>
      </c>
      <c r="K167" s="5">
        <v>29791</v>
      </c>
      <c r="L167" s="8"/>
      <c r="M167" s="6">
        <f>K167-DATE(YEAR(K167),1,0)</f>
        <v>205</v>
      </c>
      <c r="N167" s="6"/>
      <c r="O167" s="3" t="s">
        <v>45</v>
      </c>
      <c r="P167" s="3" t="s">
        <v>46</v>
      </c>
      <c r="Q167" s="7" t="s">
        <v>47</v>
      </c>
      <c r="R167" s="3" t="s">
        <v>33</v>
      </c>
    </row>
    <row r="168" spans="1:18" x14ac:dyDescent="0.35">
      <c r="A168" s="3" t="s">
        <v>716</v>
      </c>
      <c r="B168" s="3" t="s">
        <v>81</v>
      </c>
      <c r="C168" s="3" t="s">
        <v>20</v>
      </c>
      <c r="D168" s="3" t="s">
        <v>41</v>
      </c>
      <c r="E168" s="3">
        <v>-146.82377775</v>
      </c>
      <c r="F168" s="3">
        <v>64.325116460000004</v>
      </c>
      <c r="G168" s="3" t="s">
        <v>717</v>
      </c>
      <c r="H168" s="3" t="s">
        <v>718</v>
      </c>
      <c r="I168" s="3" t="s">
        <v>719</v>
      </c>
      <c r="J168" s="4"/>
      <c r="K168" s="5"/>
      <c r="L168" s="8"/>
      <c r="M168" s="6"/>
      <c r="N168" s="6"/>
      <c r="O168" s="3" t="s">
        <v>25</v>
      </c>
      <c r="P168" s="3" t="s">
        <v>46</v>
      </c>
      <c r="Q168" s="7" t="s">
        <v>169</v>
      </c>
      <c r="R168" s="3" t="s">
        <v>720</v>
      </c>
    </row>
    <row r="169" spans="1:18" x14ac:dyDescent="0.35">
      <c r="A169" s="3" t="s">
        <v>721</v>
      </c>
      <c r="B169" s="3" t="s">
        <v>81</v>
      </c>
      <c r="C169" s="3" t="s">
        <v>20</v>
      </c>
      <c r="D169" s="3" t="s">
        <v>21</v>
      </c>
      <c r="E169" s="3">
        <v>-141.69277484</v>
      </c>
      <c r="F169" s="3">
        <v>66.475464489999993</v>
      </c>
      <c r="G169" s="3" t="s">
        <v>722</v>
      </c>
      <c r="H169" s="3" t="s">
        <v>723</v>
      </c>
      <c r="I169" s="3" t="s">
        <v>724</v>
      </c>
      <c r="J169" s="4">
        <v>3098</v>
      </c>
      <c r="K169" s="5">
        <v>39714</v>
      </c>
      <c r="L169" s="8"/>
      <c r="M169" s="6">
        <f>K169-DATE(YEAR(K169),1,0)</f>
        <v>267</v>
      </c>
      <c r="N169" s="6"/>
      <c r="O169" s="3" t="s">
        <v>25</v>
      </c>
      <c r="P169" s="3" t="s">
        <v>26</v>
      </c>
      <c r="Q169" s="7" t="s">
        <v>118</v>
      </c>
      <c r="R169" s="3" t="s">
        <v>725</v>
      </c>
    </row>
    <row r="170" spans="1:18" x14ac:dyDescent="0.35">
      <c r="A170" s="3" t="s">
        <v>726</v>
      </c>
      <c r="B170" s="3" t="s">
        <v>81</v>
      </c>
      <c r="C170" s="3" t="s">
        <v>20</v>
      </c>
      <c r="D170" s="3" t="s">
        <v>41</v>
      </c>
      <c r="E170" s="3">
        <v>-146.21357688000001</v>
      </c>
      <c r="F170" s="3">
        <v>66.877436239999994</v>
      </c>
      <c r="G170" s="3" t="s">
        <v>727</v>
      </c>
      <c r="H170" s="3" t="s">
        <v>728</v>
      </c>
      <c r="I170" s="3" t="s">
        <v>729</v>
      </c>
      <c r="J170" s="4">
        <f>3914+5+14992+1273</f>
        <v>20184</v>
      </c>
      <c r="K170" s="5">
        <v>32770</v>
      </c>
      <c r="L170" s="8">
        <v>254</v>
      </c>
      <c r="M170" s="6">
        <f>K170-DATE(YEAR(K170),1,0)</f>
        <v>262</v>
      </c>
      <c r="N170" s="6">
        <f>L170-DATE(YEAR(L170),1,0)</f>
        <v>254</v>
      </c>
      <c r="O170" s="3" t="s">
        <v>25</v>
      </c>
      <c r="P170" s="3" t="s">
        <v>46</v>
      </c>
      <c r="Q170" s="7" t="s">
        <v>145</v>
      </c>
      <c r="R170" s="3" t="s">
        <v>672</v>
      </c>
    </row>
    <row r="171" spans="1:18" x14ac:dyDescent="0.35">
      <c r="A171" s="3" t="s">
        <v>730</v>
      </c>
      <c r="B171" s="3" t="s">
        <v>81</v>
      </c>
      <c r="C171" s="3" t="s">
        <v>20</v>
      </c>
      <c r="D171" s="3" t="s">
        <v>21</v>
      </c>
      <c r="E171" s="3">
        <v>-149.60786315999999</v>
      </c>
      <c r="F171" s="3">
        <v>64.040950670000001</v>
      </c>
      <c r="G171" s="3" t="s">
        <v>731</v>
      </c>
      <c r="H171" s="3" t="s">
        <v>732</v>
      </c>
      <c r="I171" s="3" t="s">
        <v>733</v>
      </c>
      <c r="J171" s="4">
        <v>75</v>
      </c>
      <c r="K171" s="5">
        <v>34246</v>
      </c>
      <c r="L171" s="8"/>
      <c r="M171" s="6">
        <f>K171-DATE(YEAR(K171),1,0)</f>
        <v>277</v>
      </c>
      <c r="N171" s="6"/>
      <c r="O171" s="3" t="s">
        <v>25</v>
      </c>
      <c r="P171" s="3" t="s">
        <v>26</v>
      </c>
      <c r="Q171" s="7" t="s">
        <v>85</v>
      </c>
      <c r="R171" s="3" t="s">
        <v>33</v>
      </c>
    </row>
    <row r="172" spans="1:18" x14ac:dyDescent="0.35">
      <c r="A172" s="3" t="s">
        <v>734</v>
      </c>
      <c r="B172" s="3" t="s">
        <v>81</v>
      </c>
      <c r="C172" s="3" t="s">
        <v>20</v>
      </c>
      <c r="D172" s="3" t="s">
        <v>21</v>
      </c>
      <c r="E172" s="3">
        <v>-149.41751719000001</v>
      </c>
      <c r="F172" s="3">
        <v>64.379256159999997</v>
      </c>
      <c r="G172" s="3" t="s">
        <v>735</v>
      </c>
      <c r="H172" s="3" t="s">
        <v>452</v>
      </c>
      <c r="I172" s="3" t="s">
        <v>566</v>
      </c>
      <c r="J172" s="4"/>
      <c r="K172" s="9"/>
      <c r="L172" s="8"/>
      <c r="M172" s="6"/>
      <c r="N172" s="6"/>
      <c r="O172" s="3" t="s">
        <v>25</v>
      </c>
      <c r="P172" s="3" t="s">
        <v>26</v>
      </c>
      <c r="Q172" s="7" t="s">
        <v>85</v>
      </c>
      <c r="R172" s="3" t="s">
        <v>218</v>
      </c>
    </row>
    <row r="173" spans="1:18" x14ac:dyDescent="0.35">
      <c r="A173" s="3" t="s">
        <v>736</v>
      </c>
      <c r="B173" s="3" t="s">
        <v>81</v>
      </c>
      <c r="C173" s="3" t="s">
        <v>20</v>
      </c>
      <c r="D173" s="3" t="s">
        <v>21</v>
      </c>
      <c r="E173" s="3">
        <v>-134.29667659</v>
      </c>
      <c r="F173" s="3">
        <v>61.098768380000003</v>
      </c>
      <c r="G173" s="3"/>
      <c r="H173" s="3" t="s">
        <v>737</v>
      </c>
      <c r="I173" s="3" t="s">
        <v>738</v>
      </c>
      <c r="J173" s="4">
        <f>720+19</f>
        <v>739</v>
      </c>
      <c r="K173" s="5">
        <v>33178</v>
      </c>
      <c r="L173" s="8"/>
      <c r="M173" s="6">
        <f>K173-DATE(YEAR(K173),1,0)</f>
        <v>305</v>
      </c>
      <c r="N173" s="6"/>
      <c r="O173" s="3" t="s">
        <v>128</v>
      </c>
      <c r="P173" s="3" t="s">
        <v>46</v>
      </c>
      <c r="Q173" s="7" t="s">
        <v>739</v>
      </c>
      <c r="R173" s="3" t="s">
        <v>740</v>
      </c>
    </row>
    <row r="174" spans="1:18" x14ac:dyDescent="0.35">
      <c r="A174" s="3" t="s">
        <v>741</v>
      </c>
      <c r="B174" s="3" t="s">
        <v>81</v>
      </c>
      <c r="C174" s="3" t="s">
        <v>20</v>
      </c>
      <c r="D174" s="3" t="s">
        <v>21</v>
      </c>
      <c r="E174" s="3">
        <v>-141.7676238</v>
      </c>
      <c r="F174" s="3">
        <v>66.515751940000001</v>
      </c>
      <c r="G174" s="3" t="s">
        <v>742</v>
      </c>
      <c r="H174" s="3" t="s">
        <v>580</v>
      </c>
      <c r="I174" s="3" t="s">
        <v>743</v>
      </c>
      <c r="J174" s="4">
        <v>100</v>
      </c>
      <c r="K174" s="5">
        <v>36432</v>
      </c>
      <c r="L174" s="8"/>
      <c r="M174" s="6">
        <f>K174-DATE(YEAR(K174),1,0)</f>
        <v>272</v>
      </c>
      <c r="N174" s="6"/>
      <c r="O174" s="3" t="s">
        <v>25</v>
      </c>
      <c r="P174" s="3" t="s">
        <v>26</v>
      </c>
      <c r="Q174" s="7" t="s">
        <v>118</v>
      </c>
      <c r="R174" s="3" t="s">
        <v>744</v>
      </c>
    </row>
    <row r="175" spans="1:18" x14ac:dyDescent="0.35">
      <c r="A175" s="3" t="s">
        <v>745</v>
      </c>
      <c r="B175" s="3" t="s">
        <v>81</v>
      </c>
      <c r="C175" s="3" t="s">
        <v>20</v>
      </c>
      <c r="D175" s="3" t="s">
        <v>21</v>
      </c>
      <c r="E175" s="3">
        <v>-139.68517804000001</v>
      </c>
      <c r="F175" s="3">
        <v>64.303661180000006</v>
      </c>
      <c r="G175" s="3"/>
      <c r="H175" s="3"/>
      <c r="I175" s="3"/>
      <c r="J175" s="4"/>
      <c r="K175" s="9"/>
      <c r="L175" s="8"/>
      <c r="M175" s="6"/>
      <c r="N175" s="6"/>
      <c r="O175" s="3" t="s">
        <v>128</v>
      </c>
      <c r="P175" s="3" t="s">
        <v>26</v>
      </c>
      <c r="Q175" s="7" t="s">
        <v>203</v>
      </c>
      <c r="R175" s="3" t="s">
        <v>746</v>
      </c>
    </row>
    <row r="176" spans="1:18" x14ac:dyDescent="0.35">
      <c r="A176" s="3" t="s">
        <v>747</v>
      </c>
      <c r="B176" s="3" t="s">
        <v>19</v>
      </c>
      <c r="C176" s="3" t="s">
        <v>20</v>
      </c>
      <c r="D176" s="3" t="s">
        <v>21</v>
      </c>
      <c r="E176" s="3">
        <v>-159.98128457000001</v>
      </c>
      <c r="F176" s="3">
        <v>63.10547365</v>
      </c>
      <c r="G176" s="3" t="s">
        <v>748</v>
      </c>
      <c r="H176" s="3" t="s">
        <v>749</v>
      </c>
      <c r="I176" s="3" t="s">
        <v>594</v>
      </c>
      <c r="J176" s="4">
        <f>151+833</f>
        <v>984</v>
      </c>
      <c r="K176" s="5">
        <v>41122</v>
      </c>
      <c r="L176" s="8"/>
      <c r="M176" s="6">
        <f t="shared" ref="M176:M181" si="8">K176-DATE(YEAR(K176),1,0)</f>
        <v>214</v>
      </c>
      <c r="N176" s="6"/>
      <c r="O176" s="3" t="s">
        <v>45</v>
      </c>
      <c r="P176" s="3" t="s">
        <v>26</v>
      </c>
      <c r="Q176" s="7" t="s">
        <v>38</v>
      </c>
      <c r="R176" s="3" t="s">
        <v>160</v>
      </c>
    </row>
    <row r="177" spans="1:18" x14ac:dyDescent="0.35">
      <c r="A177" s="3" t="s">
        <v>750</v>
      </c>
      <c r="B177" s="3" t="s">
        <v>81</v>
      </c>
      <c r="C177" s="3" t="s">
        <v>20</v>
      </c>
      <c r="D177" s="3" t="s">
        <v>21</v>
      </c>
      <c r="E177" s="3">
        <v>-153.56080607000001</v>
      </c>
      <c r="F177" s="3">
        <v>64.363421450000004</v>
      </c>
      <c r="G177" s="3" t="s">
        <v>751</v>
      </c>
      <c r="H177" s="3" t="s">
        <v>752</v>
      </c>
      <c r="I177" s="3" t="s">
        <v>753</v>
      </c>
      <c r="J177" s="4">
        <v>100</v>
      </c>
      <c r="K177" s="5">
        <v>32013</v>
      </c>
      <c r="L177" s="8"/>
      <c r="M177" s="6">
        <f t="shared" si="8"/>
        <v>236</v>
      </c>
      <c r="N177" s="6"/>
      <c r="O177" s="3" t="s">
        <v>25</v>
      </c>
      <c r="P177" s="3" t="s">
        <v>26</v>
      </c>
      <c r="Q177" s="7" t="s">
        <v>38</v>
      </c>
      <c r="R177" s="3" t="s">
        <v>754</v>
      </c>
    </row>
    <row r="178" spans="1:18" x14ac:dyDescent="0.35">
      <c r="A178" s="3" t="s">
        <v>755</v>
      </c>
      <c r="B178" s="3" t="s">
        <v>81</v>
      </c>
      <c r="C178" s="3" t="s">
        <v>20</v>
      </c>
      <c r="D178" s="3" t="s">
        <v>41</v>
      </c>
      <c r="E178" s="3">
        <v>-150.14556729</v>
      </c>
      <c r="F178" s="3">
        <v>63.904553550000003</v>
      </c>
      <c r="G178" s="3" t="s">
        <v>756</v>
      </c>
      <c r="H178" s="3" t="s">
        <v>757</v>
      </c>
      <c r="I178" s="3" t="s">
        <v>758</v>
      </c>
      <c r="J178" s="4">
        <v>126090</v>
      </c>
      <c r="K178" s="5">
        <v>29132</v>
      </c>
      <c r="L178" s="8">
        <v>292</v>
      </c>
      <c r="M178" s="6">
        <f t="shared" si="8"/>
        <v>277</v>
      </c>
      <c r="N178" s="6">
        <f>L178-DATE(YEAR(L178),1,0)</f>
        <v>292</v>
      </c>
      <c r="O178" s="3" t="s">
        <v>25</v>
      </c>
      <c r="P178" s="3" t="s">
        <v>46</v>
      </c>
      <c r="Q178" s="7" t="s">
        <v>169</v>
      </c>
      <c r="R178" s="3" t="s">
        <v>759</v>
      </c>
    </row>
    <row r="179" spans="1:18" x14ac:dyDescent="0.35">
      <c r="A179" s="3" t="s">
        <v>760</v>
      </c>
      <c r="B179" s="3" t="s">
        <v>19</v>
      </c>
      <c r="C179" s="3" t="s">
        <v>20</v>
      </c>
      <c r="D179" s="3" t="s">
        <v>21</v>
      </c>
      <c r="E179" s="3">
        <v>-157.11263690000001</v>
      </c>
      <c r="F179" s="3">
        <v>63.22634335</v>
      </c>
      <c r="G179" s="3" t="s">
        <v>761</v>
      </c>
      <c r="H179" s="3" t="s">
        <v>749</v>
      </c>
      <c r="I179" s="3" t="s">
        <v>762</v>
      </c>
      <c r="J179" s="4">
        <f>490+1</f>
        <v>491</v>
      </c>
      <c r="K179" s="5">
        <v>27607</v>
      </c>
      <c r="L179" s="8"/>
      <c r="M179" s="6">
        <f t="shared" si="8"/>
        <v>213</v>
      </c>
      <c r="N179" s="6"/>
      <c r="O179" s="3" t="s">
        <v>45</v>
      </c>
      <c r="P179" s="3" t="s">
        <v>46</v>
      </c>
      <c r="Q179" s="7" t="s">
        <v>47</v>
      </c>
      <c r="R179" s="3" t="s">
        <v>182</v>
      </c>
    </row>
    <row r="180" spans="1:18" x14ac:dyDescent="0.35">
      <c r="A180" s="3" t="s">
        <v>763</v>
      </c>
      <c r="B180" s="3" t="s">
        <v>19</v>
      </c>
      <c r="C180" s="3" t="s">
        <v>20</v>
      </c>
      <c r="D180" s="3" t="s">
        <v>21</v>
      </c>
      <c r="E180" s="3">
        <v>-152.42964909</v>
      </c>
      <c r="F180" s="3">
        <v>65.397581770000002</v>
      </c>
      <c r="G180" s="3" t="s">
        <v>764</v>
      </c>
      <c r="H180" s="3" t="s">
        <v>765</v>
      </c>
      <c r="I180" s="3" t="s">
        <v>766</v>
      </c>
      <c r="J180" s="4">
        <f>4245+5566+1105+435</f>
        <v>11351</v>
      </c>
      <c r="K180" s="5">
        <v>40747</v>
      </c>
      <c r="L180" s="8">
        <v>207</v>
      </c>
      <c r="M180" s="6">
        <f t="shared" si="8"/>
        <v>204</v>
      </c>
      <c r="N180" s="6">
        <f>L180-DATE(YEAR(L180),1,0)</f>
        <v>207</v>
      </c>
      <c r="O180" s="3" t="s">
        <v>25</v>
      </c>
      <c r="P180" s="3" t="s">
        <v>46</v>
      </c>
      <c r="Q180" s="7" t="s">
        <v>381</v>
      </c>
      <c r="R180" s="3" t="s">
        <v>767</v>
      </c>
    </row>
    <row r="181" spans="1:18" x14ac:dyDescent="0.35">
      <c r="A181" s="3" t="s">
        <v>768</v>
      </c>
      <c r="B181" s="3" t="s">
        <v>19</v>
      </c>
      <c r="C181" s="3" t="s">
        <v>20</v>
      </c>
      <c r="D181" s="3" t="s">
        <v>21</v>
      </c>
      <c r="E181" s="3">
        <v>-155.00958352000001</v>
      </c>
      <c r="F181" s="3">
        <v>65.009152619999995</v>
      </c>
      <c r="G181" s="3" t="s">
        <v>769</v>
      </c>
      <c r="H181" s="3" t="s">
        <v>66</v>
      </c>
      <c r="I181" s="3" t="s">
        <v>770</v>
      </c>
      <c r="J181" s="4">
        <f>613+250</f>
        <v>863</v>
      </c>
      <c r="K181" s="5">
        <v>27604</v>
      </c>
      <c r="L181" s="8"/>
      <c r="M181" s="6">
        <f t="shared" si="8"/>
        <v>210</v>
      </c>
      <c r="N181" s="6"/>
      <c r="O181" s="3" t="s">
        <v>25</v>
      </c>
      <c r="P181" s="3" t="s">
        <v>26</v>
      </c>
      <c r="Q181" s="7" t="s">
        <v>38</v>
      </c>
      <c r="R181" s="3" t="s">
        <v>33</v>
      </c>
    </row>
    <row r="182" spans="1:18" x14ac:dyDescent="0.35">
      <c r="A182" s="3" t="s">
        <v>771</v>
      </c>
      <c r="B182" s="3" t="s">
        <v>19</v>
      </c>
      <c r="C182" s="3" t="s">
        <v>20</v>
      </c>
      <c r="D182" s="3" t="s">
        <v>21</v>
      </c>
      <c r="E182" s="3">
        <v>-154.49626541999999</v>
      </c>
      <c r="F182" s="3">
        <v>64.948807029999998</v>
      </c>
      <c r="G182" s="3" t="s">
        <v>772</v>
      </c>
      <c r="H182" s="3" t="s">
        <v>299</v>
      </c>
      <c r="I182" s="3" t="s">
        <v>773</v>
      </c>
      <c r="J182" s="4"/>
      <c r="K182" s="9"/>
      <c r="L182" s="8"/>
      <c r="M182" s="6"/>
      <c r="N182" s="6"/>
      <c r="O182" s="3" t="s">
        <v>25</v>
      </c>
      <c r="P182" s="3" t="s">
        <v>26</v>
      </c>
      <c r="Q182" s="7" t="s">
        <v>38</v>
      </c>
      <c r="R182" s="3" t="s">
        <v>174</v>
      </c>
    </row>
    <row r="183" spans="1:18" x14ac:dyDescent="0.35">
      <c r="A183" s="3" t="s">
        <v>774</v>
      </c>
      <c r="B183" s="3" t="s">
        <v>19</v>
      </c>
      <c r="C183" s="3" t="s">
        <v>20</v>
      </c>
      <c r="D183" s="3" t="s">
        <v>21</v>
      </c>
      <c r="E183" s="3">
        <v>-160.98692227999999</v>
      </c>
      <c r="F183" s="3">
        <v>61.981020549999997</v>
      </c>
      <c r="G183" s="3" t="s">
        <v>775</v>
      </c>
      <c r="H183" s="3"/>
      <c r="I183" s="3" t="s">
        <v>199</v>
      </c>
      <c r="J183" s="4"/>
      <c r="K183" s="9"/>
      <c r="L183" s="8"/>
      <c r="M183" s="6"/>
      <c r="N183" s="6"/>
      <c r="O183" s="3" t="s">
        <v>45</v>
      </c>
      <c r="P183" s="3" t="s">
        <v>26</v>
      </c>
      <c r="Q183" s="7" t="s">
        <v>38</v>
      </c>
      <c r="R183" s="3" t="s">
        <v>174</v>
      </c>
    </row>
    <row r="184" spans="1:18" x14ac:dyDescent="0.35">
      <c r="A184" s="3" t="s">
        <v>776</v>
      </c>
      <c r="B184" s="3" t="s">
        <v>19</v>
      </c>
      <c r="C184" s="3" t="s">
        <v>20</v>
      </c>
      <c r="D184" s="3" t="s">
        <v>21</v>
      </c>
      <c r="E184" s="3">
        <v>-154.21912129</v>
      </c>
      <c r="F184" s="3">
        <v>65.001060140000007</v>
      </c>
      <c r="G184" s="3" t="s">
        <v>777</v>
      </c>
      <c r="H184" s="3" t="s">
        <v>778</v>
      </c>
      <c r="I184" s="3" t="s">
        <v>773</v>
      </c>
      <c r="J184" s="4"/>
      <c r="K184" s="9"/>
      <c r="L184" s="8"/>
      <c r="M184" s="6"/>
      <c r="N184" s="6"/>
      <c r="O184" s="3" t="s">
        <v>25</v>
      </c>
      <c r="P184" s="3" t="s">
        <v>26</v>
      </c>
      <c r="Q184" s="7" t="s">
        <v>38</v>
      </c>
      <c r="R184" s="3" t="s">
        <v>174</v>
      </c>
    </row>
    <row r="185" spans="1:18" x14ac:dyDescent="0.35">
      <c r="A185" s="3" t="s">
        <v>779</v>
      </c>
      <c r="B185" s="3" t="s">
        <v>19</v>
      </c>
      <c r="C185" s="3" t="s">
        <v>20</v>
      </c>
      <c r="D185" s="3" t="s">
        <v>21</v>
      </c>
      <c r="E185" s="3">
        <v>-153.5162679</v>
      </c>
      <c r="F185" s="3">
        <v>67.225368680000003</v>
      </c>
      <c r="G185" s="3" t="s">
        <v>780</v>
      </c>
      <c r="H185" s="3" t="s">
        <v>781</v>
      </c>
      <c r="I185" s="3" t="s">
        <v>782</v>
      </c>
      <c r="J185" s="4"/>
      <c r="K185" s="9"/>
      <c r="L185" s="8"/>
      <c r="M185" s="6"/>
      <c r="N185" s="6"/>
      <c r="O185" s="3" t="s">
        <v>25</v>
      </c>
      <c r="P185" s="3" t="s">
        <v>26</v>
      </c>
      <c r="Q185" s="7" t="s">
        <v>27</v>
      </c>
      <c r="R185" s="3" t="s">
        <v>783</v>
      </c>
    </row>
    <row r="186" spans="1:18" x14ac:dyDescent="0.35">
      <c r="A186" s="3" t="s">
        <v>784</v>
      </c>
      <c r="B186" s="3" t="s">
        <v>19</v>
      </c>
      <c r="C186" s="3" t="s">
        <v>20</v>
      </c>
      <c r="D186" s="3" t="s">
        <v>21</v>
      </c>
      <c r="E186" s="3">
        <v>-156.44064621999999</v>
      </c>
      <c r="F186" s="3">
        <v>66.228049220000003</v>
      </c>
      <c r="G186" s="3" t="s">
        <v>785</v>
      </c>
      <c r="H186" s="3" t="s">
        <v>786</v>
      </c>
      <c r="I186" s="3" t="s">
        <v>787</v>
      </c>
      <c r="J186" s="4">
        <f>10660+15525</f>
        <v>26185</v>
      </c>
      <c r="K186" s="5">
        <v>34907</v>
      </c>
      <c r="L186" s="8"/>
      <c r="M186" s="6">
        <f>K186-DATE(YEAR(K186),1,0)</f>
        <v>208</v>
      </c>
      <c r="N186" s="6"/>
      <c r="O186" s="3" t="s">
        <v>25</v>
      </c>
      <c r="P186" s="3" t="s">
        <v>26</v>
      </c>
      <c r="Q186" s="7" t="s">
        <v>38</v>
      </c>
      <c r="R186" s="3" t="s">
        <v>28</v>
      </c>
    </row>
    <row r="187" spans="1:18" x14ac:dyDescent="0.35">
      <c r="A187" s="3" t="s">
        <v>788</v>
      </c>
      <c r="B187" s="3" t="s">
        <v>81</v>
      </c>
      <c r="C187" s="3" t="s">
        <v>20</v>
      </c>
      <c r="D187" s="3" t="s">
        <v>21</v>
      </c>
      <c r="E187" s="3">
        <v>-140.3574366</v>
      </c>
      <c r="F187" s="3">
        <v>63.068056919999997</v>
      </c>
      <c r="G187" s="3"/>
      <c r="H187" s="3" t="s">
        <v>789</v>
      </c>
      <c r="I187" s="3" t="s">
        <v>790</v>
      </c>
      <c r="J187" s="4">
        <f>156+2</f>
        <v>158</v>
      </c>
      <c r="K187" s="5">
        <v>31341</v>
      </c>
      <c r="L187" s="8"/>
      <c r="M187" s="6">
        <f>K187-DATE(YEAR(K187),1,0)</f>
        <v>294</v>
      </c>
      <c r="N187" s="6"/>
      <c r="O187" s="3" t="s">
        <v>128</v>
      </c>
      <c r="P187" s="3" t="s">
        <v>26</v>
      </c>
      <c r="Q187" s="7" t="s">
        <v>474</v>
      </c>
      <c r="R187" s="3" t="s">
        <v>791</v>
      </c>
    </row>
    <row r="188" spans="1:18" x14ac:dyDescent="0.35">
      <c r="A188" s="3" t="s">
        <v>792</v>
      </c>
      <c r="B188" s="3" t="s">
        <v>19</v>
      </c>
      <c r="C188" s="3" t="s">
        <v>20</v>
      </c>
      <c r="D188" s="3" t="s">
        <v>21</v>
      </c>
      <c r="E188" s="3">
        <v>-154.11584468999999</v>
      </c>
      <c r="F188" s="3">
        <v>65.474634359999996</v>
      </c>
      <c r="G188" s="3" t="s">
        <v>793</v>
      </c>
      <c r="H188" s="3" t="s">
        <v>794</v>
      </c>
      <c r="I188" s="3" t="s">
        <v>505</v>
      </c>
      <c r="J188" s="4">
        <f>515+183</f>
        <v>698</v>
      </c>
      <c r="K188" s="5">
        <v>40747</v>
      </c>
      <c r="L188" s="8"/>
      <c r="M188" s="6">
        <f>K188-DATE(YEAR(K188),1,0)</f>
        <v>204</v>
      </c>
      <c r="N188" s="6"/>
      <c r="O188" s="3" t="s">
        <v>25</v>
      </c>
      <c r="P188" s="3" t="s">
        <v>26</v>
      </c>
      <c r="Q188" s="7" t="s">
        <v>38</v>
      </c>
      <c r="R188" s="3" t="s">
        <v>795</v>
      </c>
    </row>
    <row r="189" spans="1:18" x14ac:dyDescent="0.35">
      <c r="A189" s="3" t="s">
        <v>796</v>
      </c>
      <c r="B189" s="3" t="s">
        <v>81</v>
      </c>
      <c r="C189" s="3" t="s">
        <v>20</v>
      </c>
      <c r="D189" s="3" t="s">
        <v>21</v>
      </c>
      <c r="E189" s="3">
        <v>-149.13273568</v>
      </c>
      <c r="F189" s="3">
        <v>64.395785230000001</v>
      </c>
      <c r="G189" s="3" t="s">
        <v>797</v>
      </c>
      <c r="H189" s="3" t="s">
        <v>798</v>
      </c>
      <c r="I189" s="3" t="s">
        <v>799</v>
      </c>
      <c r="J189" s="4">
        <v>25</v>
      </c>
      <c r="K189" s="5">
        <v>39376</v>
      </c>
      <c r="L189" s="8"/>
      <c r="M189" s="6">
        <f>K189-DATE(YEAR(K189),1,0)</f>
        <v>294</v>
      </c>
      <c r="N189" s="6"/>
      <c r="O189" s="3" t="s">
        <v>25</v>
      </c>
      <c r="P189" s="3" t="s">
        <v>26</v>
      </c>
      <c r="Q189" s="7" t="s">
        <v>85</v>
      </c>
      <c r="R189" s="3" t="s">
        <v>800</v>
      </c>
    </row>
    <row r="190" spans="1:18" x14ac:dyDescent="0.35">
      <c r="A190" s="3" t="s">
        <v>801</v>
      </c>
      <c r="B190" s="3" t="s">
        <v>19</v>
      </c>
      <c r="C190" s="3" t="s">
        <v>20</v>
      </c>
      <c r="D190" s="3" t="s">
        <v>21</v>
      </c>
      <c r="E190" s="3">
        <v>-157.69995759</v>
      </c>
      <c r="F190" s="3">
        <v>65.017444940000004</v>
      </c>
      <c r="G190" s="3" t="s">
        <v>802</v>
      </c>
      <c r="H190" s="3" t="s">
        <v>803</v>
      </c>
      <c r="I190" s="3" t="s">
        <v>199</v>
      </c>
      <c r="J190" s="4"/>
      <c r="K190" s="9"/>
      <c r="L190" s="8"/>
      <c r="M190" s="6"/>
      <c r="N190" s="6"/>
      <c r="O190" s="3" t="s">
        <v>25</v>
      </c>
      <c r="P190" s="3" t="s">
        <v>26</v>
      </c>
      <c r="Q190" s="7" t="s">
        <v>38</v>
      </c>
      <c r="R190" s="3" t="s">
        <v>174</v>
      </c>
    </row>
    <row r="191" spans="1:18" x14ac:dyDescent="0.35">
      <c r="A191" s="3" t="s">
        <v>804</v>
      </c>
      <c r="B191" s="3" t="s">
        <v>19</v>
      </c>
      <c r="C191" s="3" t="s">
        <v>20</v>
      </c>
      <c r="D191" s="3" t="s">
        <v>21</v>
      </c>
      <c r="E191" s="3">
        <v>-160.36324569999999</v>
      </c>
      <c r="F191" s="3">
        <v>63.040545100000003</v>
      </c>
      <c r="G191" s="3" t="s">
        <v>805</v>
      </c>
      <c r="H191" s="3" t="s">
        <v>122</v>
      </c>
      <c r="I191" s="3" t="s">
        <v>806</v>
      </c>
      <c r="J191" s="4">
        <v>10785</v>
      </c>
      <c r="K191" s="5">
        <v>28686</v>
      </c>
      <c r="L191" s="8"/>
      <c r="M191" s="6">
        <f>K191-DATE(YEAR(K191),1,0)</f>
        <v>196</v>
      </c>
      <c r="N191" s="6"/>
      <c r="O191" s="3" t="s">
        <v>45</v>
      </c>
      <c r="P191" s="3" t="s">
        <v>46</v>
      </c>
      <c r="Q191" s="7" t="s">
        <v>47</v>
      </c>
      <c r="R191" s="3" t="s">
        <v>68</v>
      </c>
    </row>
    <row r="192" spans="1:18" x14ac:dyDescent="0.35">
      <c r="A192" s="3" t="s">
        <v>807</v>
      </c>
      <c r="B192" s="3" t="s">
        <v>19</v>
      </c>
      <c r="C192" s="3" t="s">
        <v>20</v>
      </c>
      <c r="D192" s="3" t="s">
        <v>21</v>
      </c>
      <c r="E192" s="3">
        <v>-156.51366530000001</v>
      </c>
      <c r="F192" s="3">
        <v>64.312590869999994</v>
      </c>
      <c r="G192" s="3" t="s">
        <v>808</v>
      </c>
      <c r="H192" s="3" t="s">
        <v>809</v>
      </c>
      <c r="I192" s="3" t="s">
        <v>810</v>
      </c>
      <c r="J192" s="4">
        <f>1210+487</f>
        <v>1697</v>
      </c>
      <c r="K192" s="5">
        <v>41114</v>
      </c>
      <c r="L192" s="8"/>
      <c r="M192" s="6">
        <f>K192-DATE(YEAR(K192),1,0)</f>
        <v>206</v>
      </c>
      <c r="N192" s="6"/>
      <c r="O192" s="3" t="s">
        <v>25</v>
      </c>
      <c r="P192" s="3" t="s">
        <v>26</v>
      </c>
      <c r="Q192" s="7" t="s">
        <v>38</v>
      </c>
      <c r="R192" s="3" t="s">
        <v>800</v>
      </c>
    </row>
    <row r="193" spans="1:18" x14ac:dyDescent="0.35">
      <c r="A193" s="3" t="s">
        <v>811</v>
      </c>
      <c r="B193" s="3" t="s">
        <v>81</v>
      </c>
      <c r="C193" s="3" t="s">
        <v>20</v>
      </c>
      <c r="D193" s="3" t="s">
        <v>21</v>
      </c>
      <c r="E193" s="3">
        <v>-136.84554571999999</v>
      </c>
      <c r="F193" s="3">
        <v>62.573358929999998</v>
      </c>
      <c r="G193" s="3"/>
      <c r="H193" s="3" t="s">
        <v>812</v>
      </c>
      <c r="I193" s="3" t="s">
        <v>813</v>
      </c>
      <c r="J193" s="4">
        <v>16425</v>
      </c>
      <c r="K193" s="5">
        <v>38643</v>
      </c>
      <c r="L193" s="8"/>
      <c r="M193" s="6">
        <f>K193-DATE(YEAR(K193),1,0)</f>
        <v>291</v>
      </c>
      <c r="N193" s="6"/>
      <c r="O193" s="3" t="s">
        <v>128</v>
      </c>
      <c r="P193" s="3" t="s">
        <v>46</v>
      </c>
      <c r="Q193" s="7" t="s">
        <v>139</v>
      </c>
      <c r="R193" s="3" t="s">
        <v>814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Ransbury, Shane Ryan</dc:creator>
  <cp:lastModifiedBy>Ransbury, Shane R</cp:lastModifiedBy>
  <dcterms:created xsi:type="dcterms:W3CDTF">2015-06-05T18:17:20Z</dcterms:created>
  <dcterms:modified xsi:type="dcterms:W3CDTF">2026-07-13T18:26:14Z</dcterms:modified>
</cp:coreProperties>
</file>